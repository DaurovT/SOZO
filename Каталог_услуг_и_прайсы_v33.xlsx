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Логика цен" sheetId="1" state="visible" r:id="rId1"/>
    <sheet xmlns:r="http://schemas.openxmlformats.org/officeDocument/2006/relationships" name="Каталог услуг" sheetId="2" state="visible" r:id="rId2"/>
    <sheet xmlns:r="http://schemas.openxmlformats.org/officeDocument/2006/relationships" name="B2B абонентка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\+0%;\-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8E5DD"/>
        <bgColor rgb="FFD6E4F0"/>
      </patternFill>
    </fill>
    <fill>
      <patternFill patternType="solid">
        <fgColor rgb="FFD6E4F0"/>
        <bgColor rgb="FFE8E5DD"/>
      </patternFill>
    </fill>
    <fill>
      <patternFill patternType="solid">
        <fgColor rgb="FFC6E0B4"/>
        <bgColor rgb="FFD6E4F0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6" fillId="2" borderId="1" applyAlignment="1" pivotButton="0" quotePrefix="0" xfId="0">
      <alignment horizontal="general" vertical="bottom"/>
    </xf>
    <xf numFmtId="9" fontId="6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9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general" vertical="center" wrapText="1"/>
    </xf>
    <xf numFmtId="0" fontId="11" fillId="4" borderId="0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 wrapText="1"/>
    </xf>
    <xf numFmtId="3" fontId="6" fillId="0" borderId="1" applyAlignment="1" pivotButton="0" quotePrefix="0" xfId="0">
      <alignment horizontal="right" vertical="bottom"/>
    </xf>
    <xf numFmtId="3" fontId="8" fillId="0" borderId="1" applyAlignment="1" pivotButton="0" quotePrefix="0" xfId="0">
      <alignment horizontal="right" vertical="bottom"/>
    </xf>
    <xf numFmtId="3" fontId="8" fillId="0" borderId="1" applyAlignment="1" pivotButton="0" quotePrefix="0" xfId="0">
      <alignment horizontal="left" vertical="bottom" wrapText="1"/>
    </xf>
    <xf numFmtId="3" fontId="8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 wrapText="1"/>
    </xf>
    <xf numFmtId="0" fontId="10" fillId="0" borderId="1" applyAlignment="1" pivotButton="0" quotePrefix="0" xfId="0">
      <alignment horizontal="general" vertical="bottom"/>
    </xf>
    <xf numFmtId="3" fontId="6" fillId="2" borderId="1" applyAlignment="1" pivotButton="0" quotePrefix="0" xfId="0">
      <alignment horizontal="center" vertical="bottom" wrapText="1"/>
    </xf>
    <xf numFmtId="3" fontId="14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general" vertical="bottom"/>
    </xf>
    <xf numFmtId="1" fontId="13" fillId="6" borderId="1" applyAlignment="1" pivotButton="0" quotePrefix="0" xfId="0">
      <alignment horizontal="center" vertical="bottom"/>
    </xf>
    <xf numFmtId="3" fontId="13" fillId="0" borderId="1" applyAlignment="1" pivotButton="0" quotePrefix="0" xfId="0">
      <alignment horizontal="center" vertical="bottom"/>
    </xf>
    <xf numFmtId="9" fontId="14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6" fillId="2" borderId="1" applyAlignment="1" pivotButton="0" quotePrefix="0" xfId="0">
      <alignment horizontal="general" vertical="bottom"/>
    </xf>
    <xf numFmtId="9" fontId="6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general" vertical="center" wrapText="1"/>
    </xf>
    <xf numFmtId="0" fontId="11" fillId="4" borderId="0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 wrapText="1"/>
    </xf>
    <xf numFmtId="3" fontId="6" fillId="0" borderId="1" applyAlignment="1" pivotButton="0" quotePrefix="0" xfId="0">
      <alignment horizontal="right" vertical="bottom"/>
    </xf>
    <xf numFmtId="3" fontId="8" fillId="0" borderId="1" applyAlignment="1" pivotButton="0" quotePrefix="0" xfId="0">
      <alignment horizontal="right" vertical="bottom"/>
    </xf>
    <xf numFmtId="3" fontId="8" fillId="0" borderId="1" applyAlignment="1" pivotButton="0" quotePrefix="0" xfId="0">
      <alignment horizontal="left" vertical="bottom" wrapText="1"/>
    </xf>
    <xf numFmtId="3" fontId="8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 wrapText="1"/>
    </xf>
    <xf numFmtId="0" fontId="10" fillId="0" borderId="1" applyAlignment="1" pivotButton="0" quotePrefix="0" xfId="0">
      <alignment horizontal="general" vertical="bottom"/>
    </xf>
    <xf numFmtId="3" fontId="6" fillId="2" borderId="1" applyAlignment="1" pivotButton="0" quotePrefix="0" xfId="0">
      <alignment horizontal="center" vertical="bottom" wrapText="1"/>
    </xf>
    <xf numFmtId="3" fontId="14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general" vertical="bottom"/>
    </xf>
    <xf numFmtId="1" fontId="13" fillId="6" borderId="1" applyAlignment="1" pivotButton="0" quotePrefix="0" xfId="0">
      <alignment horizontal="center" vertical="bottom"/>
    </xf>
    <xf numFmtId="3" fontId="13" fillId="0" borderId="1" applyAlignment="1" pivotButton="0" quotePrefix="0" xfId="0">
      <alignment horizontal="center" vertical="bottom"/>
    </xf>
    <xf numFmtId="9" fontId="14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8E5DD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52" customWidth="1" style="37" min="1" max="1"/>
    <col width="14" customWidth="1" style="37" min="2" max="2"/>
    <col width="78" customWidth="1" style="37" min="3" max="3"/>
  </cols>
  <sheetData>
    <row r="1" ht="18" customHeight="1" s="38">
      <c r="A1" s="39" t="inlineStr">
        <is>
          <t>ЛОГИКА ЦЕНООБРАЗОВАНИЯ — ключевые параметры (жёлтые ячейки редактируешь ты)</t>
        </is>
      </c>
    </row>
    <row r="3" ht="15" customHeight="1" s="38">
      <c r="A3" s="40" t="inlineStr">
        <is>
          <t>Наценка B2B на РАЗОВЫЕ заявки (без подписки)</t>
        </is>
      </c>
      <c r="B3" s="41" t="n">
        <v>0.3</v>
      </c>
      <c r="C3" s="42" t="inlineStr">
        <is>
          <t>Безнал = налоги, счета-фактуры, акты, договор, SLA. Разово юрик платит ДОРОЖЕ физика</t>
        </is>
      </c>
    </row>
    <row r="4" ht="15" customHeight="1" s="38">
      <c r="A4" s="40" t="inlineStr">
        <is>
          <t>Наценка за аварийный/ночной вызов</t>
        </is>
      </c>
      <c r="B4" s="41" t="n">
        <v>0.5</v>
      </c>
      <c r="C4" s="42" t="inlineStr">
        <is>
          <t>После 20:00, выходные, праздники: +50%; глубокая ночь — можно +100%</t>
        </is>
      </c>
    </row>
    <row r="5" ht="15" customHeight="1" s="38">
      <c r="A5" s="40" t="inlineStr">
        <is>
          <t>Минимальный чек выезда B2C, сум</t>
        </is>
      </c>
      <c r="B5" s="43" t="n">
        <v>100000</v>
      </c>
      <c r="C5" s="42" t="inlineStr">
        <is>
          <t>Ниже — заявка убыточна с учётом дороги и доли мастера</t>
        </is>
      </c>
    </row>
    <row r="6" ht="15" customHeight="1" s="38">
      <c r="A6" s="40" t="inlineStr">
        <is>
          <t>Доля мастера от стоимости работ</t>
        </is>
      </c>
      <c r="B6" s="41" t="n">
        <v>0.55</v>
      </c>
      <c r="C6" s="42" t="inlineStr">
        <is>
          <t>Коридор 50–60%. Материалы в долю не входят — по чеку</t>
        </is>
      </c>
    </row>
    <row r="7" ht="15" customHeight="1" s="38">
      <c r="A7" s="40" t="inlineStr">
        <is>
          <t>Плановый техосмотр B2B (за один), сум</t>
        </is>
      </c>
      <c r="B7" s="43" t="n">
        <v>300000</v>
      </c>
      <c r="C7" s="42" t="inlineStr">
        <is>
          <t>Входит в подписку, база расчёта тарифов</t>
        </is>
      </c>
    </row>
    <row r="8" ht="15" customHeight="1" s="38">
      <c r="A8" s="40" t="inlineStr">
        <is>
          <t>Скидка подписки от цены «B2B разовая»</t>
        </is>
      </c>
      <c r="B8" s="44" t="n">
        <v>0.1</v>
      </c>
      <c r="C8" s="42" t="inlineStr">
        <is>
          <t>Подписчик платит на 10% меньше РАЗОВОЙ B2B-цены того же объёма (≈ B2C × 1,17). Дороже розницы физика: скидка юрику — от юрика, не от физика</t>
        </is>
      </c>
    </row>
    <row r="9" ht="15" customHeight="1" s="38">
      <c r="A9" s="45" t="inlineStr">
        <is>
          <t>Ставка НДС (Узбекистан)</t>
        </is>
      </c>
      <c r="B9" s="46" t="n">
        <v>0.12</v>
      </c>
      <c r="C9" s="45" t="inlineStr">
        <is>
          <t>Цены каталога — КОНЕЧНЫЕ (с НДС). В счёт-фактуре НДС выделяется изнутри: без НДС = цена / 1,12. Для клиентов-неплательщиков цена та же.</t>
        </is>
      </c>
    </row>
    <row r="10" ht="15" customHeight="1" s="38">
      <c r="A10" s="40" t="inlineStr">
        <is>
          <t>Наценка «Срочно» — платный приоритет клиента</t>
        </is>
      </c>
      <c r="B10" s="41" t="n">
        <v>0.3</v>
      </c>
      <c r="C10" s="42" t="inlineStr">
        <is>
          <t>Тариф «Срочно»: +30% только к работам (ТЗ 17.3). Аварийная/ночная/срочная наценки взаимоисключающие — применяется одна наибольшая (ТЗ 3.7). Снимается автоматически, если работы не начаты за 3 ч (правило честности).</t>
        </is>
      </c>
    </row>
    <row r="11" ht="15" customHeight="1" s="38">
      <c r="A11" s="47" t="inlineStr">
        <is>
          <t>ЦЕНОВАЯ ЛОГИКА (три уровня):</t>
        </is>
      </c>
    </row>
    <row r="12" ht="15" customHeight="1" s="38">
      <c r="A12" s="40" t="inlineStr">
        <is>
          <t>1. B2C — базовый прайс. Оплата Payme/Click/Uzum или карта. Гарантия 30 дней.</t>
        </is>
      </c>
    </row>
    <row r="13" ht="15" customHeight="1" s="38">
      <c r="A13" s="40" t="inlineStr">
        <is>
          <t>2. B2B разовая = B2C × (1 + наценка) — и «от», и «до» (сейчас +30%). Перечисление, СФ с выделением НДС, договор.</t>
        </is>
      </c>
    </row>
    <row r="14" ht="15" customHeight="1" s="38">
      <c r="A14" s="40" t="inlineStr">
        <is>
          <t>3. B2B абонентка: фикс. сумма в договоре; работы списываются по подписным ценам = «B2B разовая» × (1 − скидка 10%) ≈ B2C × 1,17. Осмотры входят.</t>
        </is>
      </c>
    </row>
    <row r="15" ht="15" customHeight="1" s="38">
      <c r="A15" s="40" t="inlineStr">
        <is>
          <t xml:space="preserve">   Всё сверх абонентки — отдельная счёт-фактура по ценам «B2B разовая» (+30%). Осмотры входят в абонентку.</t>
        </is>
      </c>
    </row>
    <row r="16" ht="15" customHeight="1" s="38">
      <c r="A16" s="40" t="inlineStr">
        <is>
          <t xml:space="preserve">   Продающий аргумент: «подписка — на 10% дешевле разовых вызовов + SLA + осмотры включены». Розница физика — отдельный мир, юрику недоступна.</t>
        </is>
      </c>
    </row>
    <row r="17" ht="15" customHeight="1" s="38">
      <c r="A17" s="40" t="n"/>
    </row>
    <row r="18" ht="15" customHeight="1" s="38">
      <c r="A18" s="47" t="inlineStr">
        <is>
          <t>ПРАВИЛА ПРАЙСА:</t>
        </is>
      </c>
    </row>
    <row r="19" ht="15" customHeight="1" s="38">
      <c r="A19" s="40" t="inlineStr">
        <is>
          <t>• Цена за РАБОТУ. Материалы отдельно, по чеку, без наценки мастера.</t>
        </is>
      </c>
    </row>
    <row r="20" ht="15" customHeight="1" s="38">
      <c r="A20" s="40" t="inlineStr">
        <is>
          <t>• Цена называется клиенту ДО начала работ. Выход за диапазон — только через диспетчера.</t>
        </is>
      </c>
    </row>
    <row r="21" ht="15" customHeight="1" s="38">
      <c r="A21" s="40" t="inlineStr">
        <is>
          <t>• Выезд + диагностика — по каталогу (позиция 1), при заказе работ — бесплатно.</t>
        </is>
      </c>
    </row>
    <row r="22" ht="15" customHeight="1" s="38">
      <c r="A22" s="40" t="inlineStr">
        <is>
          <t>• Диапазон «от–до»: «от» — типовой случай, «до» — сложный (бетон, высота, демонтаж, старые коммуникации).</t>
        </is>
      </c>
    </row>
    <row r="24" ht="15" customHeight="1" s="38">
      <c r="A24" s="48" t="inlineStr">
        <is>
          <t>НАСКОЛЬКО ДОРОЖЕ/ДЕШЕВЛЕ ДЛЯ БИЗНЕСА (считается формулами):</t>
        </is>
      </c>
    </row>
    <row r="25" ht="15" customHeight="1" s="38">
      <c r="A25" s="45" t="inlineStr">
        <is>
          <t>B2B разовая vs B2C</t>
        </is>
      </c>
      <c r="B25" s="49">
        <f>B3</f>
        <v/>
      </c>
      <c r="C25" s="45" t="inlineStr">
        <is>
          <t>Разово бизнес платит дороже физлица на наценку B3</t>
        </is>
      </c>
    </row>
    <row r="26" ht="15" customHeight="1" s="38">
      <c r="A26" s="45" t="inlineStr">
        <is>
          <t>Подписка vs B2C</t>
        </is>
      </c>
      <c r="B26" s="49">
        <f>(1+B3)*(1-B8)-1</f>
        <v/>
      </c>
      <c r="C26" s="45" t="inlineStr">
        <is>
          <t>Подписка ДОРОЖЕ розницы физика (~+17%), но дешевле разовой юрика</t>
        </is>
      </c>
    </row>
    <row r="27" ht="15" customHeight="1" s="38">
      <c r="A27" s="45" t="inlineStr">
        <is>
          <t>B2B разовая vs подписка (клин продаж)</t>
        </is>
      </c>
      <c r="B27" s="49">
        <f>1/(1-B8)-1</f>
        <v/>
      </c>
      <c r="C27" s="45" t="inlineStr">
        <is>
          <t>Настолько разовая дороже подписной цены — аргумент в подписку</t>
        </is>
      </c>
    </row>
  </sheetData>
  <mergeCells count="12">
    <mergeCell ref="A19:C19"/>
    <mergeCell ref="A13:C13"/>
    <mergeCell ref="A11:C11"/>
    <mergeCell ref="A1:C1"/>
    <mergeCell ref="A14:C14"/>
    <mergeCell ref="A17:C17"/>
    <mergeCell ref="A18:C18"/>
    <mergeCell ref="A21:C21"/>
    <mergeCell ref="A12:C12"/>
    <mergeCell ref="A20:C20"/>
    <mergeCell ref="A16:C16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54" activeCellId="0" sqref="H154"/>
    </sheetView>
  </sheetViews>
  <sheetFormatPr baseColWidth="8" defaultColWidth="8.71484375" defaultRowHeight="15" zeroHeight="0" outlineLevelRow="0"/>
  <cols>
    <col width="5" customWidth="1" style="37" min="1" max="1"/>
    <col width="52" customWidth="1" style="37" min="2" max="2"/>
    <col width="10" customWidth="1" style="37" min="3" max="3"/>
    <col width="13" customWidth="1" style="37" min="4" max="5"/>
    <col width="14" customWidth="1" style="37" min="6" max="9"/>
    <col width="13" customWidth="1" style="37" min="10" max="12"/>
    <col width="40" customWidth="1" style="37" min="13" max="13"/>
    <col width="12" customWidth="1" style="38" min="14" max="14"/>
    <col width="22" customWidth="1" style="38" min="15" max="15"/>
    <col width="16" customWidth="1" style="38" min="16" max="16"/>
    <col width="12" customWidth="1" style="38" min="17" max="17"/>
    <col width="12" customWidth="1" style="38" min="18" max="18"/>
  </cols>
  <sheetData>
    <row r="1" ht="18" customHeight="1" s="38">
      <c r="A1" s="39" t="inlineStr">
        <is>
          <t>ПОЛНЫЙ КАТАЛОГ УСЛУГ — B2C база, B2B разовая (+30%, с НДС и без), подписка (разовая −10%), доля мастера (Ташкент, июль 2026)</t>
        </is>
      </c>
    </row>
    <row r="2" ht="15" customHeight="1" s="38">
      <c r="A2" s="42" t="inlineStr">
        <is>
          <t>Синие ячейки (B2C от/до, столбцы D–E) калибруешь ты. Остальные — формулы через «Логику цен»: B2B раз. = B2C × (1+B3); без НДС = с НДС / (1+B9); подписка = B2B раз. × (1−B8); мастеру = B2C × B6. Цены конечные (с НДС), в СФ НДС выделяется изнутри. Колонки N–R (нормо-часы, skill-теги, оборудование/парная/этапная) обязательны для импорта в платформу (DEV-02 PriceItem, планировщик слотов ТЗ 17.3) — заполняет владелец, см. DEV-05 п.17.</t>
        </is>
      </c>
    </row>
    <row r="4" ht="30" customHeight="1" s="38">
      <c r="A4" s="50" t="inlineStr">
        <is>
          <t>№</t>
        </is>
      </c>
      <c r="B4" s="50" t="inlineStr">
        <is>
          <t>Услуга</t>
        </is>
      </c>
      <c r="C4" s="50" t="inlineStr">
        <is>
          <t>Ед. изм.</t>
        </is>
      </c>
      <c r="D4" s="50" t="inlineStr">
        <is>
          <t>B2C от (сум)</t>
        </is>
      </c>
      <c r="E4" s="50" t="inlineStr">
        <is>
          <t>B2C до (сум)</t>
        </is>
      </c>
      <c r="F4" s="51" t="inlineStr">
        <is>
          <t>B2B раз. от (с НДС)</t>
        </is>
      </c>
      <c r="G4" s="51" t="inlineStr">
        <is>
          <t>B2B раз. до (с НДС)</t>
        </is>
      </c>
      <c r="H4" s="51" t="inlineStr">
        <is>
          <t>B2B раз. от (без НДС)</t>
        </is>
      </c>
      <c r="I4" s="52" t="inlineStr">
        <is>
          <t>B2B раз. до (без НДС)</t>
        </is>
      </c>
      <c r="J4" s="52" t="inlineStr">
        <is>
          <t>Подписка от (с НДС)</t>
        </is>
      </c>
      <c r="K4" s="52" t="inlineStr">
        <is>
          <t>Подписка до (с НДС)</t>
        </is>
      </c>
      <c r="L4" s="52" t="inlineStr">
        <is>
          <t>Мастеру от (сум)</t>
        </is>
      </c>
      <c r="M4" s="52" t="inlineStr">
        <is>
          <t>Примечание</t>
        </is>
      </c>
      <c r="N4" s="52" t="inlineStr">
        <is>
          <t>Нормо-часы</t>
        </is>
      </c>
      <c r="O4" s="52" t="inlineStr">
        <is>
          <t>Skill-теги</t>
        </is>
      </c>
      <c r="P4" s="52" t="inlineStr">
        <is>
          <t>Требует оборудование (да/нет)</t>
        </is>
      </c>
      <c r="Q4" s="52" t="inlineStr">
        <is>
          <t>Парная (да/нет)</t>
        </is>
      </c>
      <c r="R4" s="52" t="inlineStr">
        <is>
          <t>Этапная (да/нет)</t>
        </is>
      </c>
    </row>
    <row r="5" ht="15" customHeight="1" s="38">
      <c r="A5" s="53" t="inlineStr">
        <is>
          <t>ВЫЕЗД И ДИАГНОСТИКА</t>
        </is>
      </c>
      <c r="B5" s="54" t="n"/>
      <c r="C5" s="54" t="n"/>
      <c r="D5" s="54" t="n"/>
      <c r="E5" s="54" t="n"/>
      <c r="F5" s="54" t="n"/>
      <c r="G5" s="54" t="n"/>
      <c r="H5" s="55" t="n"/>
    </row>
    <row r="6" ht="26.25" customHeight="1" s="38">
      <c r="A6" s="56" t="n">
        <v>1</v>
      </c>
      <c r="B6" s="57" t="inlineStr">
        <is>
          <t>Выезд мастера + диагностика (бесплатно при заказе работ)</t>
        </is>
      </c>
      <c r="C6" s="57" t="inlineStr">
        <is>
          <t>выезд</t>
        </is>
      </c>
      <c r="D6" s="58" t="n">
        <v>150000</v>
      </c>
      <c r="E6" s="58" t="n">
        <v>200000</v>
      </c>
      <c r="F6" s="59">
        <f>ROUND(D6*(1+'Логика цен'!$B$3),-3)</f>
        <v/>
      </c>
      <c r="G6" s="59">
        <f>ROUND(E6*(1+'Логика цен'!$B$3),-3)</f>
        <v/>
      </c>
      <c r="H6" s="60">
        <f>ROUND(F6/(1+'Логика цен'!$B$9),-3)</f>
        <v/>
      </c>
      <c r="I6" s="61">
        <f>ROUND(G6/(1+'Логика цен'!$B$9),-3)</f>
        <v/>
      </c>
      <c r="J6" s="61">
        <f>ROUND(D6*(1+'Логика цен'!$B$3)*(1-'Логика цен'!$B$8),-3)</f>
        <v/>
      </c>
      <c r="K6" s="61">
        <f>ROUND(E6*(1+'Логика цен'!$B$3)*(1-'Логика цен'!$B$8),-3)</f>
        <v/>
      </c>
      <c r="L6" s="61">
        <f>ROUND(D6*'Логика цен'!$B$6,-3)</f>
        <v/>
      </c>
      <c r="M6" s="45" t="n"/>
    </row>
    <row r="7" ht="15" customHeight="1" s="38">
      <c r="A7" s="56" t="n">
        <v>2</v>
      </c>
      <c r="B7" s="57" t="inlineStr">
        <is>
          <t>Аварийный выезд (вечер/ночь/выходные)</t>
        </is>
      </c>
      <c r="C7" s="57" t="inlineStr">
        <is>
          <t>выезд</t>
        </is>
      </c>
      <c r="D7" s="58" t="n">
        <v>200000</v>
      </c>
      <c r="E7" s="58" t="n">
        <v>250000</v>
      </c>
      <c r="F7" s="59">
        <f>ROUND(D7*(1+'Логика цен'!$B$3),-3)</f>
        <v/>
      </c>
      <c r="G7" s="59">
        <f>ROUND(E7*(1+'Логика цен'!$B$3),-3)</f>
        <v/>
      </c>
      <c r="H7" s="60">
        <f>ROUND(F7/(1+'Логика цен'!$B$9),-3)</f>
        <v/>
      </c>
      <c r="I7" s="61">
        <f>ROUND(G7/(1+'Логика цен'!$B$9),-3)</f>
        <v/>
      </c>
      <c r="J7" s="61">
        <f>ROUND(D7*(1+'Логика цен'!$B$3)*(1-'Логика цен'!$B$8),-3)</f>
        <v/>
      </c>
      <c r="K7" s="61">
        <f>ROUND(E7*(1+'Логика цен'!$B$3)*(1-'Логика цен'!$B$8),-3)</f>
        <v/>
      </c>
      <c r="L7" s="61">
        <f>ROUND(D7*'Логика цен'!$B$6,-3)</f>
        <v/>
      </c>
      <c r="M7" s="45" t="inlineStr">
        <is>
          <t>Плюс наценка к работам по коэффициенту</t>
        </is>
      </c>
    </row>
    <row r="8" ht="15" customHeight="1" s="38">
      <c r="A8" s="56" t="n">
        <v>3</v>
      </c>
      <c r="B8" s="57" t="inlineStr">
        <is>
          <t>Технический осмотр помещения по чек-листу</t>
        </is>
      </c>
      <c r="C8" s="57" t="inlineStr">
        <is>
          <t>объект</t>
        </is>
      </c>
      <c r="D8" s="58" t="n">
        <v>200000</v>
      </c>
      <c r="E8" s="58" t="n">
        <v>400000</v>
      </c>
      <c r="F8" s="59">
        <f>ROUND(D8*(1+'Логика цен'!$B$3),-3)</f>
        <v/>
      </c>
      <c r="G8" s="59">
        <f>ROUND(E8*(1+'Логика цен'!$B$3),-3)</f>
        <v/>
      </c>
      <c r="H8" s="60">
        <f>ROUND(F8/(1+'Логика цен'!$B$9),-3)</f>
        <v/>
      </c>
      <c r="I8" s="61">
        <f>ROUND(G8/(1+'Логика цен'!$B$9),-3)</f>
        <v/>
      </c>
      <c r="J8" s="61">
        <f>ROUND(D8*(1+'Логика цен'!$B$3)*(1-'Логика цен'!$B$8),-3)</f>
        <v/>
      </c>
      <c r="K8" s="61">
        <f>ROUND(E8*(1+'Логика цен'!$B$3)*(1-'Логика цен'!$B$8),-3)</f>
        <v/>
      </c>
      <c r="L8" s="61">
        <f>ROUND(D8*'Логика цен'!$B$6,-3)</f>
        <v/>
      </c>
      <c r="M8" s="45" t="inlineStr">
        <is>
          <t>Для B2B входит в подписку</t>
        </is>
      </c>
    </row>
    <row r="9" ht="15" customHeight="1" s="38">
      <c r="A9" s="56" t="n">
        <v>4</v>
      </c>
      <c r="B9" s="57" t="inlineStr">
        <is>
          <t>Составление дефектной ведомости / сметы работ</t>
        </is>
      </c>
      <c r="C9" s="57" t="inlineStr">
        <is>
          <t>объект</t>
        </is>
      </c>
      <c r="D9" s="58" t="n">
        <v>150000</v>
      </c>
      <c r="E9" s="58" t="n">
        <v>300000</v>
      </c>
      <c r="F9" s="59">
        <f>ROUND(D9*(1+'Логика цен'!$B$3),-3)</f>
        <v/>
      </c>
      <c r="G9" s="59">
        <f>ROUND(E9*(1+'Логика цен'!$B$3),-3)</f>
        <v/>
      </c>
      <c r="H9" s="60">
        <f>ROUND(F9/(1+'Логика цен'!$B$9),-3)</f>
        <v/>
      </c>
      <c r="I9" s="61">
        <f>ROUND(G9/(1+'Логика цен'!$B$9),-3)</f>
        <v/>
      </c>
      <c r="J9" s="61">
        <f>ROUND(D9*(1+'Логика цен'!$B$3)*(1-'Логика цен'!$B$8),-3)</f>
        <v/>
      </c>
      <c r="K9" s="61">
        <f>ROUND(E9*(1+'Логика цен'!$B$3)*(1-'Логика цен'!$B$8),-3)</f>
        <v/>
      </c>
      <c r="L9" s="61">
        <f>ROUND(D9*'Логика цен'!$B$6,-3)</f>
        <v/>
      </c>
      <c r="M9" s="45" t="inlineStr">
        <is>
          <t>Бесплатно при заказе работ от 1 млн</t>
        </is>
      </c>
    </row>
    <row r="10" ht="15" customHeight="1" s="38">
      <c r="A10" s="53" t="inlineStr">
        <is>
          <t>САНТЕХНИКА</t>
        </is>
      </c>
      <c r="B10" s="54" t="n"/>
      <c r="C10" s="54" t="n"/>
      <c r="D10" s="54" t="n"/>
      <c r="E10" s="54" t="n"/>
      <c r="F10" s="54" t="n"/>
      <c r="G10" s="54" t="n"/>
      <c r="H10" s="55" t="n"/>
    </row>
    <row r="11" ht="15" customHeight="1" s="38">
      <c r="A11" s="56" t="n">
        <v>5</v>
      </c>
      <c r="B11" s="57" t="inlineStr">
        <is>
          <t>Установка/замена смесителя</t>
        </is>
      </c>
      <c r="C11" s="57" t="inlineStr">
        <is>
          <t>шт</t>
        </is>
      </c>
      <c r="D11" s="58" t="n">
        <v>160000</v>
      </c>
      <c r="E11" s="58" t="n">
        <v>250000</v>
      </c>
      <c r="F11" s="59">
        <f>ROUND(D11*(1+'Логика цен'!$B$3),-3)</f>
        <v/>
      </c>
      <c r="G11" s="59">
        <f>ROUND(E11*(1+'Логика цен'!$B$3),-3)</f>
        <v/>
      </c>
      <c r="H11" s="60">
        <f>ROUND(F11/(1+'Логика цен'!$B$9),-3)</f>
        <v/>
      </c>
      <c r="I11" s="61">
        <f>ROUND(G11/(1+'Логика цен'!$B$9),-3)</f>
        <v/>
      </c>
      <c r="J11" s="61">
        <f>ROUND(D11*(1+'Логика цен'!$B$3)*(1-'Логика цен'!$B$8),-3)</f>
        <v/>
      </c>
      <c r="K11" s="61">
        <f>ROUND(E11*(1+'Логика цен'!$B$3)*(1-'Логика цен'!$B$8),-3)</f>
        <v/>
      </c>
      <c r="L11" s="61">
        <f>ROUND(D11*'Логика цен'!$B$6,-3)</f>
        <v/>
      </c>
      <c r="M11" s="45" t="n"/>
    </row>
    <row r="12" ht="15" customHeight="1" s="38">
      <c r="A12" s="56" t="n">
        <v>6</v>
      </c>
      <c r="B12" s="57" t="inlineStr">
        <is>
          <t>Ремонт смесителя (картридж, кран-букса, течь)</t>
        </is>
      </c>
      <c r="C12" s="57" t="inlineStr">
        <is>
          <t>шт</t>
        </is>
      </c>
      <c r="D12" s="58" t="n">
        <v>90000</v>
      </c>
      <c r="E12" s="58" t="n">
        <v>150000</v>
      </c>
      <c r="F12" s="59">
        <f>ROUND(D12*(1+'Логика цен'!$B$3),-3)</f>
        <v/>
      </c>
      <c r="G12" s="59">
        <f>ROUND(E12*(1+'Логика цен'!$B$3),-3)</f>
        <v/>
      </c>
      <c r="H12" s="60">
        <f>ROUND(F12/(1+'Логика цен'!$B$9),-3)</f>
        <v/>
      </c>
      <c r="I12" s="61">
        <f>ROUND(G12/(1+'Логика цен'!$B$9),-3)</f>
        <v/>
      </c>
      <c r="J12" s="61">
        <f>ROUND(D12*(1+'Логика цен'!$B$3)*(1-'Логика цен'!$B$8),-3)</f>
        <v/>
      </c>
      <c r="K12" s="61">
        <f>ROUND(E12*(1+'Логика цен'!$B$3)*(1-'Логика цен'!$B$8),-3)</f>
        <v/>
      </c>
      <c r="L12" s="61">
        <f>ROUND(D12*'Логика цен'!$B$6,-3)</f>
        <v/>
      </c>
      <c r="M12" s="45" t="n"/>
    </row>
    <row r="13" ht="15" customHeight="1" s="38">
      <c r="A13" s="56" t="n">
        <v>7</v>
      </c>
      <c r="B13" s="57" t="inlineStr">
        <is>
          <t>Установка/замена унитаза</t>
        </is>
      </c>
      <c r="C13" s="57" t="inlineStr">
        <is>
          <t>шт</t>
        </is>
      </c>
      <c r="D13" s="58" t="n">
        <v>250000</v>
      </c>
      <c r="E13" s="58" t="n">
        <v>400000</v>
      </c>
      <c r="F13" s="59">
        <f>ROUND(D13*(1+'Логика цен'!$B$3),-3)</f>
        <v/>
      </c>
      <c r="G13" s="59">
        <f>ROUND(E13*(1+'Логика цен'!$B$3),-3)</f>
        <v/>
      </c>
      <c r="H13" s="60">
        <f>ROUND(F13/(1+'Логика цен'!$B$9),-3)</f>
        <v/>
      </c>
      <c r="I13" s="61">
        <f>ROUND(G13/(1+'Логика цен'!$B$9),-3)</f>
        <v/>
      </c>
      <c r="J13" s="61">
        <f>ROUND(D13*(1+'Логика цен'!$B$3)*(1-'Логика цен'!$B$8),-3)</f>
        <v/>
      </c>
      <c r="K13" s="61">
        <f>ROUND(E13*(1+'Логика цен'!$B$3)*(1-'Логика цен'!$B$8),-3)</f>
        <v/>
      </c>
      <c r="L13" s="61">
        <f>ROUND(D13*'Логика цен'!$B$6,-3)</f>
        <v/>
      </c>
      <c r="M13" s="45" t="inlineStr">
        <is>
          <t>С демонтажом старого</t>
        </is>
      </c>
    </row>
    <row r="14" ht="15" customHeight="1" s="38">
      <c r="A14" s="56" t="n">
        <v>8</v>
      </c>
      <c r="B14" s="57" t="inlineStr">
        <is>
          <t>Замена арматуры/ремонт бачка</t>
        </is>
      </c>
      <c r="C14" s="57" t="inlineStr">
        <is>
          <t>шт</t>
        </is>
      </c>
      <c r="D14" s="58" t="n">
        <v>100000</v>
      </c>
      <c r="E14" s="58" t="n">
        <v>150000</v>
      </c>
      <c r="F14" s="59">
        <f>ROUND(D14*(1+'Логика цен'!$B$3),-3)</f>
        <v/>
      </c>
      <c r="G14" s="59">
        <f>ROUND(E14*(1+'Логика цен'!$B$3),-3)</f>
        <v/>
      </c>
      <c r="H14" s="60">
        <f>ROUND(F14/(1+'Логика цен'!$B$9),-3)</f>
        <v/>
      </c>
      <c r="I14" s="61">
        <f>ROUND(G14/(1+'Логика цен'!$B$9),-3)</f>
        <v/>
      </c>
      <c r="J14" s="61">
        <f>ROUND(D14*(1+'Логика цен'!$B$3)*(1-'Логика цен'!$B$8),-3)</f>
        <v/>
      </c>
      <c r="K14" s="61">
        <f>ROUND(E14*(1+'Логика цен'!$B$3)*(1-'Логика цен'!$B$8),-3)</f>
        <v/>
      </c>
      <c r="L14" s="61">
        <f>ROUND(D14*'Логика цен'!$B$6,-3)</f>
        <v/>
      </c>
      <c r="M14" s="45" t="n"/>
    </row>
    <row r="15" ht="15" customHeight="1" s="38">
      <c r="A15" s="56" t="n">
        <v>9</v>
      </c>
      <c r="B15" s="57" t="inlineStr">
        <is>
          <t>Установка инсталляции (подвесной унитаз)</t>
        </is>
      </c>
      <c r="C15" s="57" t="inlineStr">
        <is>
          <t>шт</t>
        </is>
      </c>
      <c r="D15" s="58" t="n">
        <v>500000</v>
      </c>
      <c r="E15" s="58" t="n">
        <v>800000</v>
      </c>
      <c r="F15" s="59">
        <f>ROUND(D15*(1+'Логика цен'!$B$3),-3)</f>
        <v/>
      </c>
      <c r="G15" s="59">
        <f>ROUND(E15*(1+'Логика цен'!$B$3),-3)</f>
        <v/>
      </c>
      <c r="H15" s="60">
        <f>ROUND(F15/(1+'Логика цен'!$B$9),-3)</f>
        <v/>
      </c>
      <c r="I15" s="61">
        <f>ROUND(G15/(1+'Логика цен'!$B$9),-3)</f>
        <v/>
      </c>
      <c r="J15" s="61">
        <f>ROUND(D15*(1+'Логика цен'!$B$3)*(1-'Логика цен'!$B$8),-3)</f>
        <v/>
      </c>
      <c r="K15" s="61">
        <f>ROUND(E15*(1+'Логика цен'!$B$3)*(1-'Логика цен'!$B$8),-3)</f>
        <v/>
      </c>
      <c r="L15" s="61">
        <f>ROUND(D15*'Логика цен'!$B$6,-3)</f>
        <v/>
      </c>
      <c r="M15" s="45" t="n"/>
    </row>
    <row r="16" ht="15" customHeight="1" s="38">
      <c r="A16" s="56" t="n">
        <v>10</v>
      </c>
      <c r="B16" s="57" t="inlineStr">
        <is>
          <t>Установка раковины/мойки/тюльпана</t>
        </is>
      </c>
      <c r="C16" s="57" t="inlineStr">
        <is>
          <t>шт</t>
        </is>
      </c>
      <c r="D16" s="58" t="n">
        <v>250000</v>
      </c>
      <c r="E16" s="58" t="n">
        <v>350000</v>
      </c>
      <c r="F16" s="59">
        <f>ROUND(D16*(1+'Логика цен'!$B$3),-3)</f>
        <v/>
      </c>
      <c r="G16" s="59">
        <f>ROUND(E16*(1+'Логика цен'!$B$3),-3)</f>
        <v/>
      </c>
      <c r="H16" s="60">
        <f>ROUND(F16/(1+'Логика цен'!$B$9),-3)</f>
        <v/>
      </c>
      <c r="I16" s="61">
        <f>ROUND(G16/(1+'Логика цен'!$B$9),-3)</f>
        <v/>
      </c>
      <c r="J16" s="61">
        <f>ROUND(D16*(1+'Логика цен'!$B$3)*(1-'Логика цен'!$B$8),-3)</f>
        <v/>
      </c>
      <c r="K16" s="61">
        <f>ROUND(E16*(1+'Логика цен'!$B$3)*(1-'Логика цен'!$B$8),-3)</f>
        <v/>
      </c>
      <c r="L16" s="61">
        <f>ROUND(D16*'Логика цен'!$B$6,-3)</f>
        <v/>
      </c>
      <c r="M16" s="45" t="inlineStr">
        <is>
          <t>С сифоном</t>
        </is>
      </c>
    </row>
    <row r="17" ht="15" customHeight="1" s="38">
      <c r="A17" s="56" t="n">
        <v>11</v>
      </c>
      <c r="B17" s="57" t="inlineStr">
        <is>
          <t>Установка ванны</t>
        </is>
      </c>
      <c r="C17" s="57" t="inlineStr">
        <is>
          <t>шт</t>
        </is>
      </c>
      <c r="D17" s="58" t="n">
        <v>400000</v>
      </c>
      <c r="E17" s="58" t="n">
        <v>700000</v>
      </c>
      <c r="F17" s="59">
        <f>ROUND(D17*(1+'Логика цен'!$B$3),-3)</f>
        <v/>
      </c>
      <c r="G17" s="59">
        <f>ROUND(E17*(1+'Логика цен'!$B$3),-3)</f>
        <v/>
      </c>
      <c r="H17" s="60">
        <f>ROUND(F17/(1+'Логика цен'!$B$9),-3)</f>
        <v/>
      </c>
      <c r="I17" s="61">
        <f>ROUND(G17/(1+'Логика цен'!$B$9),-3)</f>
        <v/>
      </c>
      <c r="J17" s="61">
        <f>ROUND(D17*(1+'Логика цен'!$B$3)*(1-'Логика цен'!$B$8),-3)</f>
        <v/>
      </c>
      <c r="K17" s="61">
        <f>ROUND(E17*(1+'Логика цен'!$B$3)*(1-'Логика цен'!$B$8),-3)</f>
        <v/>
      </c>
      <c r="L17" s="61">
        <f>ROUND(D17*'Логика цен'!$B$6,-3)</f>
        <v/>
      </c>
      <c r="M17" s="45" t="n"/>
    </row>
    <row r="18" ht="15" customHeight="1" s="38">
      <c r="A18" s="56" t="n">
        <v>12</v>
      </c>
      <c r="B18" s="57" t="inlineStr">
        <is>
          <t>Установка душевой кабины</t>
        </is>
      </c>
      <c r="C18" s="57" t="inlineStr">
        <is>
          <t>шт</t>
        </is>
      </c>
      <c r="D18" s="58" t="n">
        <v>500000</v>
      </c>
      <c r="E18" s="58" t="n">
        <v>900000</v>
      </c>
      <c r="F18" s="59">
        <f>ROUND(D18*(1+'Логика цен'!$B$3),-3)</f>
        <v/>
      </c>
      <c r="G18" s="59">
        <f>ROUND(E18*(1+'Логика цен'!$B$3),-3)</f>
        <v/>
      </c>
      <c r="H18" s="60">
        <f>ROUND(F18/(1+'Логика цен'!$B$9),-3)</f>
        <v/>
      </c>
      <c r="I18" s="61">
        <f>ROUND(G18/(1+'Логика цен'!$B$9),-3)</f>
        <v/>
      </c>
      <c r="J18" s="61">
        <f>ROUND(D18*(1+'Логика цен'!$B$3)*(1-'Логика цен'!$B$8),-3)</f>
        <v/>
      </c>
      <c r="K18" s="61">
        <f>ROUND(E18*(1+'Логика цен'!$B$3)*(1-'Логика цен'!$B$8),-3)</f>
        <v/>
      </c>
      <c r="L18" s="61">
        <f>ROUND(D18*'Логика цен'!$B$6,-3)</f>
        <v/>
      </c>
      <c r="M18" s="45" t="inlineStr">
        <is>
          <t>Сборка + подключение</t>
        </is>
      </c>
    </row>
    <row r="19" ht="15" customHeight="1" s="38">
      <c r="A19" s="56" t="n">
        <v>13</v>
      </c>
      <c r="B19" s="57" t="inlineStr">
        <is>
          <t>Замена сифона</t>
        </is>
      </c>
      <c r="C19" s="57" t="inlineStr">
        <is>
          <t>шт</t>
        </is>
      </c>
      <c r="D19" s="58" t="n">
        <v>90000</v>
      </c>
      <c r="E19" s="58" t="n">
        <v>140000</v>
      </c>
      <c r="F19" s="59">
        <f>ROUND(D19*(1+'Логика цен'!$B$3),-3)</f>
        <v/>
      </c>
      <c r="G19" s="59">
        <f>ROUND(E19*(1+'Логика цен'!$B$3),-3)</f>
        <v/>
      </c>
      <c r="H19" s="60">
        <f>ROUND(F19/(1+'Логика цен'!$B$9),-3)</f>
        <v/>
      </c>
      <c r="I19" s="61">
        <f>ROUND(G19/(1+'Логика цен'!$B$9),-3)</f>
        <v/>
      </c>
      <c r="J19" s="61">
        <f>ROUND(D19*(1+'Логика цен'!$B$3)*(1-'Логика цен'!$B$8),-3)</f>
        <v/>
      </c>
      <c r="K19" s="61">
        <f>ROUND(E19*(1+'Логика цен'!$B$3)*(1-'Логика цен'!$B$8),-3)</f>
        <v/>
      </c>
      <c r="L19" s="61">
        <f>ROUND(D19*'Логика цен'!$B$6,-3)</f>
        <v/>
      </c>
      <c r="M19" s="45" t="n"/>
    </row>
    <row r="20" ht="15" customHeight="1" s="38">
      <c r="A20" s="56" t="n">
        <v>14</v>
      </c>
      <c r="B20" s="57" t="inlineStr">
        <is>
          <t>Замена гибкой подводки</t>
        </is>
      </c>
      <c r="C20" s="57" t="inlineStr">
        <is>
          <t>шт</t>
        </is>
      </c>
      <c r="D20" s="58" t="n">
        <v>50000</v>
      </c>
      <c r="E20" s="58" t="n">
        <v>80000</v>
      </c>
      <c r="F20" s="59">
        <f>ROUND(D20*(1+'Логика цен'!$B$3),-3)</f>
        <v/>
      </c>
      <c r="G20" s="59">
        <f>ROUND(E20*(1+'Логика цен'!$B$3),-3)</f>
        <v/>
      </c>
      <c r="H20" s="60">
        <f>ROUND(F20/(1+'Логика цен'!$B$9),-3)</f>
        <v/>
      </c>
      <c r="I20" s="61">
        <f>ROUND(G20/(1+'Логика цен'!$B$9),-3)</f>
        <v/>
      </c>
      <c r="J20" s="61">
        <f>ROUND(D20*(1+'Логика цен'!$B$3)*(1-'Логика цен'!$B$8),-3)</f>
        <v/>
      </c>
      <c r="K20" s="61">
        <f>ROUND(E20*(1+'Логика цен'!$B$3)*(1-'Логика цен'!$B$8),-3)</f>
        <v/>
      </c>
      <c r="L20" s="61">
        <f>ROUND(D20*'Логика цен'!$B$6,-3)</f>
        <v/>
      </c>
      <c r="M20" s="45" t="n"/>
    </row>
    <row r="21" ht="15" customHeight="1" s="38">
      <c r="A21" s="56" t="n">
        <v>15</v>
      </c>
      <c r="B21" s="57" t="inlineStr">
        <is>
          <t>Установка/замена шарового крана</t>
        </is>
      </c>
      <c r="C21" s="57" t="inlineStr">
        <is>
          <t>шт</t>
        </is>
      </c>
      <c r="D21" s="58" t="n">
        <v>120000</v>
      </c>
      <c r="E21" s="58" t="n">
        <v>150000</v>
      </c>
      <c r="F21" s="59">
        <f>ROUND(D21*(1+'Логика цен'!$B$3),-3)</f>
        <v/>
      </c>
      <c r="G21" s="59">
        <f>ROUND(E21*(1+'Логика цен'!$B$3),-3)</f>
        <v/>
      </c>
      <c r="H21" s="60">
        <f>ROUND(F21/(1+'Логика цен'!$B$9),-3)</f>
        <v/>
      </c>
      <c r="I21" s="61">
        <f>ROUND(G21/(1+'Логика цен'!$B$9),-3)</f>
        <v/>
      </c>
      <c r="J21" s="61">
        <f>ROUND(D21*(1+'Логика цен'!$B$3)*(1-'Логика цен'!$B$8),-3)</f>
        <v/>
      </c>
      <c r="K21" s="61">
        <f>ROUND(E21*(1+'Логика цен'!$B$3)*(1-'Логика цен'!$B$8),-3)</f>
        <v/>
      </c>
      <c r="L21" s="61">
        <f>ROUND(D21*'Логика цен'!$B$6,-3)</f>
        <v/>
      </c>
      <c r="M21" s="45" t="inlineStr">
        <is>
          <t>Может требовать отключения стояка</t>
        </is>
      </c>
    </row>
    <row r="22" ht="15" customHeight="1" s="38">
      <c r="A22" s="56" t="n">
        <v>16</v>
      </c>
      <c r="B22" s="57" t="inlineStr">
        <is>
          <t>Прочистка локального засора (раковина/ванна)</t>
        </is>
      </c>
      <c r="C22" s="57" t="inlineStr">
        <is>
          <t>точка</t>
        </is>
      </c>
      <c r="D22" s="58" t="n">
        <v>150000</v>
      </c>
      <c r="E22" s="58" t="n">
        <v>1000000</v>
      </c>
      <c r="F22" s="59">
        <f>ROUND(D22*(1+'Логика цен'!$B$3),-3)</f>
        <v/>
      </c>
      <c r="G22" s="59">
        <f>ROUND(E22*(1+'Логика цен'!$B$3),-3)</f>
        <v/>
      </c>
      <c r="H22" s="60">
        <f>ROUND(F22/(1+'Логика цен'!$B$9),-3)</f>
        <v/>
      </c>
      <c r="I22" s="61">
        <f>ROUND(G22/(1+'Логика цен'!$B$9),-3)</f>
        <v/>
      </c>
      <c r="J22" s="61">
        <f>ROUND(D22*(1+'Логика цен'!$B$3)*(1-'Логика цен'!$B$8),-3)</f>
        <v/>
      </c>
      <c r="K22" s="61">
        <f>ROUND(E22*(1+'Логика цен'!$B$3)*(1-'Логика цен'!$B$8),-3)</f>
        <v/>
      </c>
      <c r="L22" s="61">
        <f>ROUND(D22*'Логика цен'!$B$6,-3)</f>
        <v/>
      </c>
      <c r="M22" s="45" t="n"/>
    </row>
    <row r="23" ht="15" customHeight="1" s="38">
      <c r="A23" s="56" t="n">
        <v>17</v>
      </c>
      <c r="B23" s="57" t="inlineStr">
        <is>
          <t>Прочистка канализации (стояк, трос до 10 м)</t>
        </is>
      </c>
      <c r="C23" s="57" t="inlineStr">
        <is>
          <t>точка</t>
        </is>
      </c>
      <c r="D23" s="58" t="n">
        <v>120000</v>
      </c>
      <c r="E23" s="58" t="n">
        <v>250000</v>
      </c>
      <c r="F23" s="59">
        <f>ROUND(D23*(1+'Логика цен'!$B$3),-3)</f>
        <v/>
      </c>
      <c r="G23" s="59">
        <f>ROUND(E23*(1+'Логика цен'!$B$3),-3)</f>
        <v/>
      </c>
      <c r="H23" s="60">
        <f>ROUND(F23/(1+'Логика цен'!$B$9),-3)</f>
        <v/>
      </c>
      <c r="I23" s="61">
        <f>ROUND(G23/(1+'Логика цен'!$B$9),-3)</f>
        <v/>
      </c>
      <c r="J23" s="61">
        <f>ROUND(D23*(1+'Логика цен'!$B$3)*(1-'Логика цен'!$B$8),-3)</f>
        <v/>
      </c>
      <c r="K23" s="61">
        <f>ROUND(E23*(1+'Логика цен'!$B$3)*(1-'Логика цен'!$B$8),-3)</f>
        <v/>
      </c>
      <c r="L23" s="61">
        <f>ROUND(D23*'Логика цен'!$B$6,-3)</f>
        <v/>
      </c>
      <c r="M23" s="45" t="n"/>
    </row>
    <row r="24" ht="15" customHeight="1" s="38">
      <c r="A24" s="56" t="n">
        <v>18</v>
      </c>
      <c r="B24" s="57" t="inlineStr">
        <is>
          <t>Замена участка трубы водоснабжения (ППР, пайка)</t>
        </is>
      </c>
      <c r="C24" s="57" t="inlineStr">
        <is>
          <t>п.м</t>
        </is>
      </c>
      <c r="D24" s="58" t="n">
        <v>120000</v>
      </c>
      <c r="E24" s="58" t="n">
        <v>200000</v>
      </c>
      <c r="F24" s="59">
        <f>ROUND(D24*(1+'Логика цен'!$B$3),-3)</f>
        <v/>
      </c>
      <c r="G24" s="59">
        <f>ROUND(E24*(1+'Логика цен'!$B$3),-3)</f>
        <v/>
      </c>
      <c r="H24" s="60">
        <f>ROUND(F24/(1+'Логика цен'!$B$9),-3)</f>
        <v/>
      </c>
      <c r="I24" s="61">
        <f>ROUND(G24/(1+'Логика цен'!$B$9),-3)</f>
        <v/>
      </c>
      <c r="J24" s="61">
        <f>ROUND(D24*(1+'Логика цен'!$B$3)*(1-'Логика цен'!$B$8),-3)</f>
        <v/>
      </c>
      <c r="K24" s="61">
        <f>ROUND(E24*(1+'Логика цен'!$B$3)*(1-'Логика цен'!$B$8),-3)</f>
        <v/>
      </c>
      <c r="L24" s="61">
        <f>ROUND(D24*'Логика цен'!$B$6,-3)</f>
        <v/>
      </c>
      <c r="M24" s="45" t="n"/>
    </row>
    <row r="25" ht="15" customHeight="1" s="38">
      <c r="A25" s="56" t="n">
        <v>19</v>
      </c>
      <c r="B25" s="57" t="inlineStr">
        <is>
          <t>Замена канализационной трубы</t>
        </is>
      </c>
      <c r="C25" s="57" t="inlineStr">
        <is>
          <t>п.м</t>
        </is>
      </c>
      <c r="D25" s="58" t="n">
        <v>100000</v>
      </c>
      <c r="E25" s="58" t="n">
        <v>280000</v>
      </c>
      <c r="F25" s="59">
        <f>ROUND(D25*(1+'Логика цен'!$B$3),-3)</f>
        <v/>
      </c>
      <c r="G25" s="59">
        <f>ROUND(E25*(1+'Логика цен'!$B$3),-3)</f>
        <v/>
      </c>
      <c r="H25" s="60">
        <f>ROUND(F25/(1+'Логика цен'!$B$9),-3)</f>
        <v/>
      </c>
      <c r="I25" s="61">
        <f>ROUND(G25/(1+'Логика цен'!$B$9),-3)</f>
        <v/>
      </c>
      <c r="J25" s="61">
        <f>ROUND(D25*(1+'Логика цен'!$B$3)*(1-'Логика цен'!$B$8),-3)</f>
        <v/>
      </c>
      <c r="K25" s="61">
        <f>ROUND(E25*(1+'Логика цен'!$B$3)*(1-'Логика цен'!$B$8),-3)</f>
        <v/>
      </c>
      <c r="L25" s="61">
        <f>ROUND(D25*'Логика цен'!$B$6,-3)</f>
        <v/>
      </c>
      <c r="M25" s="45" t="n"/>
    </row>
    <row r="26" ht="15" customHeight="1" s="38">
      <c r="A26" s="56" t="n">
        <v>20</v>
      </c>
      <c r="B26" s="57" t="inlineStr">
        <is>
          <t>Врезка в существующую трубу (отвод)</t>
        </is>
      </c>
      <c r="C26" s="57" t="inlineStr">
        <is>
          <t>точка</t>
        </is>
      </c>
      <c r="D26" s="58" t="n">
        <v>120000</v>
      </c>
      <c r="E26" s="58" t="n">
        <v>250000</v>
      </c>
      <c r="F26" s="59">
        <f>ROUND(D26*(1+'Логика цен'!$B$3),-3)</f>
        <v/>
      </c>
      <c r="G26" s="59">
        <f>ROUND(E26*(1+'Логика цен'!$B$3),-3)</f>
        <v/>
      </c>
      <c r="H26" s="60">
        <f>ROUND(F26/(1+'Логика цен'!$B$9),-3)</f>
        <v/>
      </c>
      <c r="I26" s="61">
        <f>ROUND(G26/(1+'Логика цен'!$B$9),-3)</f>
        <v/>
      </c>
      <c r="J26" s="61">
        <f>ROUND(D26*(1+'Логика цен'!$B$3)*(1-'Логика цен'!$B$8),-3)</f>
        <v/>
      </c>
      <c r="K26" s="61">
        <f>ROUND(E26*(1+'Логика цен'!$B$3)*(1-'Логика цен'!$B$8),-3)</f>
        <v/>
      </c>
      <c r="L26" s="61">
        <f>ROUND(D26*'Логика цен'!$B$6,-3)</f>
        <v/>
      </c>
      <c r="M26" s="45" t="n"/>
    </row>
    <row r="27" ht="15" customHeight="1" s="38">
      <c r="A27" s="56" t="n">
        <v>21</v>
      </c>
      <c r="B27" s="57" t="inlineStr">
        <is>
          <t>Установка фильтра воды / редуктора давления</t>
        </is>
      </c>
      <c r="C27" s="57" t="inlineStr">
        <is>
          <t>шт</t>
        </is>
      </c>
      <c r="D27" s="58" t="n">
        <v>100000</v>
      </c>
      <c r="E27" s="58" t="n">
        <v>200000</v>
      </c>
      <c r="F27" s="59">
        <f>ROUND(D27*(1+'Логика цен'!$B$3),-3)</f>
        <v/>
      </c>
      <c r="G27" s="59">
        <f>ROUND(E27*(1+'Логика цен'!$B$3),-3)</f>
        <v/>
      </c>
      <c r="H27" s="60">
        <f>ROUND(F27/(1+'Логика цен'!$B$9),-3)</f>
        <v/>
      </c>
      <c r="I27" s="61">
        <f>ROUND(G27/(1+'Логика цен'!$B$9),-3)</f>
        <v/>
      </c>
      <c r="J27" s="61">
        <f>ROUND(D27*(1+'Логика цен'!$B$3)*(1-'Логика цен'!$B$8),-3)</f>
        <v/>
      </c>
      <c r="K27" s="61">
        <f>ROUND(E27*(1+'Логика цен'!$B$3)*(1-'Логика цен'!$B$8),-3)</f>
        <v/>
      </c>
      <c r="L27" s="61">
        <f>ROUND(D27*'Логика цен'!$B$6,-3)</f>
        <v/>
      </c>
      <c r="M27" s="45" t="n"/>
    </row>
    <row r="28" ht="15" customHeight="1" s="38">
      <c r="A28" s="56" t="n">
        <v>22</v>
      </c>
      <c r="B28" s="57" t="inlineStr">
        <is>
          <t>Установка счётчика воды (без опломбировки)</t>
        </is>
      </c>
      <c r="C28" s="57" t="inlineStr">
        <is>
          <t>шт</t>
        </is>
      </c>
      <c r="D28" s="58" t="n">
        <v>150000</v>
      </c>
      <c r="E28" s="58" t="n">
        <v>250000</v>
      </c>
      <c r="F28" s="59">
        <f>ROUND(D28*(1+'Логика цен'!$B$3),-3)</f>
        <v/>
      </c>
      <c r="G28" s="59">
        <f>ROUND(E28*(1+'Логика цен'!$B$3),-3)</f>
        <v/>
      </c>
      <c r="H28" s="60">
        <f>ROUND(F28/(1+'Логика цен'!$B$9),-3)</f>
        <v/>
      </c>
      <c r="I28" s="61">
        <f>ROUND(G28/(1+'Логика цен'!$B$9),-3)</f>
        <v/>
      </c>
      <c r="J28" s="61">
        <f>ROUND(D28*(1+'Логика цен'!$B$3)*(1-'Логика цен'!$B$8),-3)</f>
        <v/>
      </c>
      <c r="K28" s="61">
        <f>ROUND(E28*(1+'Логика цен'!$B$3)*(1-'Логика цен'!$B$8),-3)</f>
        <v/>
      </c>
      <c r="L28" s="61">
        <f>ROUND(D28*'Логика цен'!$B$6,-3)</f>
        <v/>
      </c>
      <c r="M28" s="45" t="inlineStr">
        <is>
          <t>Опломбировка — через водоканал</t>
        </is>
      </c>
    </row>
    <row r="29" ht="15" customHeight="1" s="38">
      <c r="A29" s="56" t="n">
        <v>23</v>
      </c>
      <c r="B29" s="57" t="inlineStr">
        <is>
          <t>Установка/замена радиатора отопления</t>
        </is>
      </c>
      <c r="C29" s="57" t="inlineStr">
        <is>
          <t>шт</t>
        </is>
      </c>
      <c r="D29" s="58" t="n">
        <v>300000</v>
      </c>
      <c r="E29" s="58" t="n">
        <v>500000</v>
      </c>
      <c r="F29" s="59">
        <f>ROUND(D29*(1+'Логика цен'!$B$3),-3)</f>
        <v/>
      </c>
      <c r="G29" s="59">
        <f>ROUND(E29*(1+'Логика цен'!$B$3),-3)</f>
        <v/>
      </c>
      <c r="H29" s="60">
        <f>ROUND(F29/(1+'Логика цен'!$B$9),-3)</f>
        <v/>
      </c>
      <c r="I29" s="61">
        <f>ROUND(G29/(1+'Логика цен'!$B$9),-3)</f>
        <v/>
      </c>
      <c r="J29" s="61">
        <f>ROUND(D29*(1+'Логика цен'!$B$3)*(1-'Логика цен'!$B$8),-3)</f>
        <v/>
      </c>
      <c r="K29" s="61">
        <f>ROUND(E29*(1+'Логика цен'!$B$3)*(1-'Логика цен'!$B$8),-3)</f>
        <v/>
      </c>
      <c r="L29" s="61">
        <f>ROUND(D29*'Логика цен'!$B$6,-3)</f>
        <v/>
      </c>
      <c r="M29" s="45" t="n"/>
    </row>
    <row r="30" ht="15" customHeight="1" s="38">
      <c r="A30" s="56" t="n">
        <v>24</v>
      </c>
      <c r="B30" s="57" t="inlineStr">
        <is>
          <t>Промывка радиатора/системы отопления</t>
        </is>
      </c>
      <c r="C30" s="57" t="inlineStr">
        <is>
          <t>шт</t>
        </is>
      </c>
      <c r="D30" s="58" t="n">
        <v>250000</v>
      </c>
      <c r="E30" s="58" t="n">
        <v>450000</v>
      </c>
      <c r="F30" s="59">
        <f>ROUND(D30*(1+'Логика цен'!$B$3),-3)</f>
        <v/>
      </c>
      <c r="G30" s="59">
        <f>ROUND(E30*(1+'Логика цен'!$B$3),-3)</f>
        <v/>
      </c>
      <c r="H30" s="60">
        <f>ROUND(F30/(1+'Логика цен'!$B$9),-3)</f>
        <v/>
      </c>
      <c r="I30" s="61">
        <f>ROUND(G30/(1+'Логика цен'!$B$9),-3)</f>
        <v/>
      </c>
      <c r="J30" s="61">
        <f>ROUND(D30*(1+'Логика цен'!$B$3)*(1-'Логика цен'!$B$8),-3)</f>
        <v/>
      </c>
      <c r="K30" s="61">
        <f>ROUND(E30*(1+'Логика цен'!$B$3)*(1-'Логика цен'!$B$8),-3)</f>
        <v/>
      </c>
      <c r="L30" s="61">
        <f>ROUND(D30*'Логика цен'!$B$6,-3)</f>
        <v/>
      </c>
      <c r="M30" s="45" t="inlineStr">
        <is>
          <t>Сезон: осень</t>
        </is>
      </c>
    </row>
    <row r="31" ht="15" customHeight="1" s="38">
      <c r="A31" s="56" t="n">
        <v>25</v>
      </c>
      <c r="B31" s="57" t="inlineStr">
        <is>
          <t>Установка полотенцесушителя</t>
        </is>
      </c>
      <c r="C31" s="57" t="inlineStr">
        <is>
          <t>шт</t>
        </is>
      </c>
      <c r="D31" s="58" t="n">
        <v>250000</v>
      </c>
      <c r="E31" s="58" t="n">
        <v>450000</v>
      </c>
      <c r="F31" s="59">
        <f>ROUND(D31*(1+'Логика цен'!$B$3),-3)</f>
        <v/>
      </c>
      <c r="G31" s="59">
        <f>ROUND(E31*(1+'Логика цен'!$B$3),-3)</f>
        <v/>
      </c>
      <c r="H31" s="60">
        <f>ROUND(F31/(1+'Логика цен'!$B$9),-3)</f>
        <v/>
      </c>
      <c r="I31" s="61">
        <f>ROUND(G31/(1+'Логика цен'!$B$9),-3)</f>
        <v/>
      </c>
      <c r="J31" s="61">
        <f>ROUND(D31*(1+'Логика цен'!$B$3)*(1-'Логика цен'!$B$8),-3)</f>
        <v/>
      </c>
      <c r="K31" s="61">
        <f>ROUND(E31*(1+'Логика цен'!$B$3)*(1-'Логика цен'!$B$8),-3)</f>
        <v/>
      </c>
      <c r="L31" s="61">
        <f>ROUND(D31*'Логика цен'!$B$6,-3)</f>
        <v/>
      </c>
      <c r="M31" s="45" t="n"/>
    </row>
    <row r="32" ht="15" customHeight="1" s="38">
      <c r="A32" s="56" t="n">
        <v>26</v>
      </c>
      <c r="B32" s="57" t="inlineStr">
        <is>
          <t>Установка водонагревателя</t>
        </is>
      </c>
      <c r="C32" s="57" t="inlineStr">
        <is>
          <t>шт</t>
        </is>
      </c>
      <c r="D32" s="58" t="n">
        <v>250000</v>
      </c>
      <c r="E32" s="58" t="n">
        <v>450000</v>
      </c>
      <c r="F32" s="59">
        <f>ROUND(D32*(1+'Логика цен'!$B$3),-3)</f>
        <v/>
      </c>
      <c r="G32" s="59">
        <f>ROUND(E32*(1+'Логика цен'!$B$3),-3)</f>
        <v/>
      </c>
      <c r="H32" s="60">
        <f>ROUND(F32/(1+'Логика цен'!$B$9),-3)</f>
        <v/>
      </c>
      <c r="I32" s="61">
        <f>ROUND(G32/(1+'Логика цен'!$B$9),-3)</f>
        <v/>
      </c>
      <c r="J32" s="61">
        <f>ROUND(D32*(1+'Логика цен'!$B$3)*(1-'Логика цен'!$B$8),-3)</f>
        <v/>
      </c>
      <c r="K32" s="61">
        <f>ROUND(E32*(1+'Логика цен'!$B$3)*(1-'Логика цен'!$B$8),-3)</f>
        <v/>
      </c>
      <c r="L32" s="61">
        <f>ROUND(D32*'Логика цен'!$B$6,-3)</f>
        <v/>
      </c>
      <c r="M32" s="45" t="n"/>
    </row>
    <row r="33" ht="15" customHeight="1" s="38">
      <c r="A33" s="56" t="n">
        <v>27</v>
      </c>
      <c r="B33" s="57" t="inlineStr">
        <is>
          <t>Подключение стиральной/посудомоечной машины</t>
        </is>
      </c>
      <c r="C33" s="57" t="inlineStr">
        <is>
          <t>шт</t>
        </is>
      </c>
      <c r="D33" s="58" t="n">
        <v>150000</v>
      </c>
      <c r="E33" s="58" t="n">
        <v>350000</v>
      </c>
      <c r="F33" s="59">
        <f>ROUND(D33*(1+'Логика цен'!$B$3),-3)</f>
        <v/>
      </c>
      <c r="G33" s="59">
        <f>ROUND(E33*(1+'Логика цен'!$B$3),-3)</f>
        <v/>
      </c>
      <c r="H33" s="60">
        <f>ROUND(F33/(1+'Логика цен'!$B$9),-3)</f>
        <v/>
      </c>
      <c r="I33" s="61">
        <f>ROUND(G33/(1+'Логика цен'!$B$9),-3)</f>
        <v/>
      </c>
      <c r="J33" s="61">
        <f>ROUND(D33*(1+'Логика цен'!$B$3)*(1-'Логика цен'!$B$8),-3)</f>
        <v/>
      </c>
      <c r="K33" s="61">
        <f>ROUND(E33*(1+'Логика цен'!$B$3)*(1-'Логика цен'!$B$8),-3)</f>
        <v/>
      </c>
      <c r="L33" s="61">
        <f>ROUND(D33*'Логика цен'!$B$6,-3)</f>
        <v/>
      </c>
      <c r="M33" s="45" t="n"/>
    </row>
    <row r="34" ht="15" customHeight="1" s="38">
      <c r="A34" s="56" t="n">
        <v>28</v>
      </c>
      <c r="B34" s="57" t="inlineStr">
        <is>
          <t>Герметизация ванны/душа/стыков</t>
        </is>
      </c>
      <c r="C34" s="57" t="inlineStr">
        <is>
          <t>п.м</t>
        </is>
      </c>
      <c r="D34" s="58" t="n">
        <v>20000</v>
      </c>
      <c r="E34" s="58" t="n">
        <v>70000</v>
      </c>
      <c r="F34" s="59">
        <f>ROUND(D34*(1+'Логика цен'!$B$3),-3)</f>
        <v/>
      </c>
      <c r="G34" s="59">
        <f>ROUND(E34*(1+'Логика цен'!$B$3),-3)</f>
        <v/>
      </c>
      <c r="H34" s="60">
        <f>ROUND(F34/(1+'Логика цен'!$B$9),-3)</f>
        <v/>
      </c>
      <c r="I34" s="61">
        <f>ROUND(G34/(1+'Логика цен'!$B$9),-3)</f>
        <v/>
      </c>
      <c r="J34" s="61">
        <f>ROUND(D34*(1+'Логика цен'!$B$3)*(1-'Логика цен'!$B$8),-3)</f>
        <v/>
      </c>
      <c r="K34" s="61">
        <f>ROUND(E34*(1+'Логика цен'!$B$3)*(1-'Логика цен'!$B$8),-3)</f>
        <v/>
      </c>
      <c r="L34" s="61">
        <f>ROUND(D34*'Логика цен'!$B$6,-3)</f>
        <v/>
      </c>
      <c r="M34" s="45" t="n"/>
    </row>
    <row r="35" ht="15" customHeight="1" s="38">
      <c r="A35" s="53" t="inlineStr">
        <is>
          <t>ЭЛЕКТРИКА</t>
        </is>
      </c>
      <c r="B35" s="54" t="n"/>
      <c r="C35" s="54" t="n"/>
      <c r="D35" s="54" t="n"/>
      <c r="E35" s="54" t="n"/>
      <c r="F35" s="54" t="n"/>
      <c r="G35" s="54" t="n"/>
      <c r="H35" s="55" t="n"/>
    </row>
    <row r="36" ht="26.25" customHeight="1" s="38">
      <c r="A36" s="56" t="n">
        <v>29</v>
      </c>
      <c r="B36" s="57" t="inlineStr">
        <is>
          <t>Установка/замена розетки/выключателя (в готовое место)</t>
        </is>
      </c>
      <c r="C36" s="57" t="inlineStr">
        <is>
          <t>точка</t>
        </is>
      </c>
      <c r="D36" s="58" t="n">
        <v>70000</v>
      </c>
      <c r="E36" s="58" t="n">
        <v>150000</v>
      </c>
      <c r="F36" s="59">
        <f>ROUND(D36*(1+'Логика цен'!$B$3),-3)</f>
        <v/>
      </c>
      <c r="G36" s="59">
        <f>ROUND(E36*(1+'Логика цен'!$B$3),-3)</f>
        <v/>
      </c>
      <c r="H36" s="60">
        <f>ROUND(F36/(1+'Логика цен'!$B$9),-3)</f>
        <v/>
      </c>
      <c r="I36" s="61">
        <f>ROUND(G36/(1+'Логика цен'!$B$9),-3)</f>
        <v/>
      </c>
      <c r="J36" s="61">
        <f>ROUND(D36*(1+'Логика цен'!$B$3)*(1-'Логика цен'!$B$8),-3)</f>
        <v/>
      </c>
      <c r="K36" s="61">
        <f>ROUND(E36*(1+'Логика цен'!$B$3)*(1-'Логика цен'!$B$8),-3)</f>
        <v/>
      </c>
      <c r="L36" s="61">
        <f>ROUND(D36*'Логика цен'!$B$6,-3)</f>
        <v/>
      </c>
      <c r="M36" s="45" t="n"/>
    </row>
    <row r="37" ht="15" customHeight="1" s="38">
      <c r="A37" s="56" t="n">
        <v>30</v>
      </c>
      <c r="B37" s="57" t="inlineStr">
        <is>
          <t>Перенос розетки/выключателя</t>
        </is>
      </c>
      <c r="C37" s="57" t="inlineStr">
        <is>
          <t>точка</t>
        </is>
      </c>
      <c r="D37" s="58" t="n">
        <v>150000</v>
      </c>
      <c r="E37" s="58" t="n">
        <v>550000</v>
      </c>
      <c r="F37" s="59">
        <f>ROUND(D37*(1+'Логика цен'!$B$3),-3)</f>
        <v/>
      </c>
      <c r="G37" s="59">
        <f>ROUND(E37*(1+'Логика цен'!$B$3),-3)</f>
        <v/>
      </c>
      <c r="H37" s="60">
        <f>ROUND(F37/(1+'Логика цен'!$B$9),-3)</f>
        <v/>
      </c>
      <c r="I37" s="61">
        <f>ROUND(G37/(1+'Логика цен'!$B$9),-3)</f>
        <v/>
      </c>
      <c r="J37" s="61">
        <f>ROUND(D37*(1+'Логика цен'!$B$3)*(1-'Логика цен'!$B$8),-3)</f>
        <v/>
      </c>
      <c r="K37" s="61">
        <f>ROUND(E37*(1+'Логика цен'!$B$3)*(1-'Логика цен'!$B$8),-3)</f>
        <v/>
      </c>
      <c r="L37" s="61">
        <f>ROUND(D37*'Логика цен'!$B$6,-3)</f>
        <v/>
      </c>
      <c r="M37" s="45" t="inlineStr">
        <is>
          <t>Со штробой и кабелем 1м</t>
        </is>
      </c>
    </row>
    <row r="38" ht="15" customHeight="1" s="38">
      <c r="A38" s="56" t="n">
        <v>31</v>
      </c>
      <c r="B38" s="57" t="inlineStr">
        <is>
          <t>Монтаж новой точки (подрозетник + штроба до 1 м)</t>
        </is>
      </c>
      <c r="C38" s="57" t="inlineStr">
        <is>
          <t>точка</t>
        </is>
      </c>
      <c r="D38" s="58" t="n">
        <v>150000</v>
      </c>
      <c r="E38" s="58" t="n">
        <v>280000</v>
      </c>
      <c r="F38" s="59">
        <f>ROUND(D38*(1+'Логика цен'!$B$3),-3)</f>
        <v/>
      </c>
      <c r="G38" s="59">
        <f>ROUND(E38*(1+'Логика цен'!$B$3),-3)</f>
        <v/>
      </c>
      <c r="H38" s="60">
        <f>ROUND(F38/(1+'Логика цен'!$B$9),-3)</f>
        <v/>
      </c>
      <c r="I38" s="61">
        <f>ROUND(G38/(1+'Логика цен'!$B$9),-3)</f>
        <v/>
      </c>
      <c r="J38" s="61">
        <f>ROUND(D38*(1+'Логика цен'!$B$3)*(1-'Логика цен'!$B$8),-3)</f>
        <v/>
      </c>
      <c r="K38" s="61">
        <f>ROUND(E38*(1+'Логика цен'!$B$3)*(1-'Логика цен'!$B$8),-3)</f>
        <v/>
      </c>
      <c r="L38" s="61">
        <f>ROUND(D38*'Логика цен'!$B$6,-3)</f>
        <v/>
      </c>
      <c r="M38" s="45" t="inlineStr">
        <is>
          <t>Бетон дороже</t>
        </is>
      </c>
    </row>
    <row r="39" ht="15" customHeight="1" s="38">
      <c r="A39" s="56" t="n">
        <v>32</v>
      </c>
      <c r="B39" s="57" t="inlineStr">
        <is>
          <t>Установка диммера/терморегулятора</t>
        </is>
      </c>
      <c r="C39" s="57" t="inlineStr">
        <is>
          <t>шт</t>
        </is>
      </c>
      <c r="D39" s="58" t="n">
        <v>90000</v>
      </c>
      <c r="E39" s="58" t="n">
        <v>180000</v>
      </c>
      <c r="F39" s="59">
        <f>ROUND(D39*(1+'Логика цен'!$B$3),-3)</f>
        <v/>
      </c>
      <c r="G39" s="59">
        <f>ROUND(E39*(1+'Логика цен'!$B$3),-3)</f>
        <v/>
      </c>
      <c r="H39" s="60">
        <f>ROUND(F39/(1+'Логика цен'!$B$9),-3)</f>
        <v/>
      </c>
      <c r="I39" s="61">
        <f>ROUND(G39/(1+'Логика цен'!$B$9),-3)</f>
        <v/>
      </c>
      <c r="J39" s="61">
        <f>ROUND(D39*(1+'Логика цен'!$B$3)*(1-'Логика цен'!$B$8),-3)</f>
        <v/>
      </c>
      <c r="K39" s="61">
        <f>ROUND(E39*(1+'Логика цен'!$B$3)*(1-'Логика цен'!$B$8),-3)</f>
        <v/>
      </c>
      <c r="L39" s="61">
        <f>ROUND(D39*'Логика цен'!$B$6,-3)</f>
        <v/>
      </c>
      <c r="M39" s="45" t="n"/>
    </row>
    <row r="40" ht="15" customHeight="1" s="38">
      <c r="A40" s="56" t="n">
        <v>33</v>
      </c>
      <c r="B40" s="57" t="inlineStr">
        <is>
          <t>Установка люстры</t>
        </is>
      </c>
      <c r="C40" s="57" t="inlineStr">
        <is>
          <t>шт</t>
        </is>
      </c>
      <c r="D40" s="58" t="n">
        <v>200000</v>
      </c>
      <c r="E40" s="58" t="n">
        <v>350000</v>
      </c>
      <c r="F40" s="59">
        <f>ROUND(D40*(1+'Логика цен'!$B$3),-3)</f>
        <v/>
      </c>
      <c r="G40" s="59">
        <f>ROUND(E40*(1+'Логика цен'!$B$3),-3)</f>
        <v/>
      </c>
      <c r="H40" s="60">
        <f>ROUND(F40/(1+'Логика цен'!$B$9),-3)</f>
        <v/>
      </c>
      <c r="I40" s="61">
        <f>ROUND(G40/(1+'Логика цен'!$B$9),-3)</f>
        <v/>
      </c>
      <c r="J40" s="61">
        <f>ROUND(D40*(1+'Логика цен'!$B$3)*(1-'Логика цен'!$B$8),-3)</f>
        <v/>
      </c>
      <c r="K40" s="61">
        <f>ROUND(E40*(1+'Логика цен'!$B$3)*(1-'Логика цен'!$B$8),-3)</f>
        <v/>
      </c>
      <c r="L40" s="61">
        <f>ROUND(D40*'Логика цен'!$B$6,-3)</f>
        <v/>
      </c>
      <c r="M40" s="45" t="n"/>
    </row>
    <row r="41" ht="15" customHeight="1" s="38">
      <c r="A41" s="56" t="n">
        <v>34</v>
      </c>
      <c r="B41" s="57" t="inlineStr">
        <is>
          <t>Установка люстры с монтажом крюка/планки в бетон</t>
        </is>
      </c>
      <c r="C41" s="57" t="inlineStr">
        <is>
          <t>шт</t>
        </is>
      </c>
      <c r="D41" s="58" t="n">
        <v>250000</v>
      </c>
      <c r="E41" s="58" t="n">
        <v>450000</v>
      </c>
      <c r="F41" s="59">
        <f>ROUND(D41*(1+'Логика цен'!$B$3),-3)</f>
        <v/>
      </c>
      <c r="G41" s="59">
        <f>ROUND(E41*(1+'Логика цен'!$B$3),-3)</f>
        <v/>
      </c>
      <c r="H41" s="60">
        <f>ROUND(F41/(1+'Логика цен'!$B$9),-3)</f>
        <v/>
      </c>
      <c r="I41" s="61">
        <f>ROUND(G41/(1+'Логика цен'!$B$9),-3)</f>
        <v/>
      </c>
      <c r="J41" s="61">
        <f>ROUND(D41*(1+'Логика цен'!$B$3)*(1-'Логика цен'!$B$8),-3)</f>
        <v/>
      </c>
      <c r="K41" s="61">
        <f>ROUND(E41*(1+'Логика цен'!$B$3)*(1-'Логика цен'!$B$8),-3)</f>
        <v/>
      </c>
      <c r="L41" s="61">
        <f>ROUND(D41*'Логика цен'!$B$6,-3)</f>
        <v/>
      </c>
      <c r="M41" s="45" t="n"/>
    </row>
    <row r="42" ht="15" customHeight="1" s="38">
      <c r="A42" s="56" t="n">
        <v>35</v>
      </c>
      <c r="B42" s="57" t="inlineStr">
        <is>
          <t>Установка точечного светильника/бра/трека</t>
        </is>
      </c>
      <c r="C42" s="57" t="inlineStr">
        <is>
          <t>шт</t>
        </is>
      </c>
      <c r="D42" s="58" t="n">
        <v>150000</v>
      </c>
      <c r="E42" s="58" t="n">
        <v>290000</v>
      </c>
      <c r="F42" s="59">
        <f>ROUND(D42*(1+'Логика цен'!$B$3),-3)</f>
        <v/>
      </c>
      <c r="G42" s="59">
        <f>ROUND(E42*(1+'Логика цен'!$B$3),-3)</f>
        <v/>
      </c>
      <c r="H42" s="60">
        <f>ROUND(F42/(1+'Логика цен'!$B$9),-3)</f>
        <v/>
      </c>
      <c r="I42" s="61">
        <f>ROUND(G42/(1+'Логика цен'!$B$9),-3)</f>
        <v/>
      </c>
      <c r="J42" s="61">
        <f>ROUND(D42*(1+'Логика цен'!$B$3)*(1-'Логика цен'!$B$8),-3)</f>
        <v/>
      </c>
      <c r="K42" s="61">
        <f>ROUND(E42*(1+'Логика цен'!$B$3)*(1-'Логика цен'!$B$8),-3)</f>
        <v/>
      </c>
      <c r="L42" s="61">
        <f>ROUND(D42*'Логика цен'!$B$6,-3)</f>
        <v/>
      </c>
      <c r="M42" s="45" t="n"/>
    </row>
    <row r="43" ht="15" customHeight="1" s="38">
      <c r="A43" s="56" t="n">
        <v>36</v>
      </c>
      <c r="B43" s="57" t="inlineStr">
        <is>
          <t>Установка LED-ленты с блоком питания</t>
        </is>
      </c>
      <c r="C43" s="57" t="inlineStr">
        <is>
          <t>п.м</t>
        </is>
      </c>
      <c r="D43" s="58" t="n">
        <v>100000</v>
      </c>
      <c r="E43" s="58" t="n">
        <v>370000</v>
      </c>
      <c r="F43" s="59">
        <f>ROUND(D43*(1+'Логика цен'!$B$3),-3)</f>
        <v/>
      </c>
      <c r="G43" s="59">
        <f>ROUND(E43*(1+'Логика цен'!$B$3),-3)</f>
        <v/>
      </c>
      <c r="H43" s="60">
        <f>ROUND(F43/(1+'Логика цен'!$B$9),-3)</f>
        <v/>
      </c>
      <c r="I43" s="61">
        <f>ROUND(G43/(1+'Логика цен'!$B$9),-3)</f>
        <v/>
      </c>
      <c r="J43" s="61">
        <f>ROUND(D43*(1+'Логика цен'!$B$3)*(1-'Логика цен'!$B$8),-3)</f>
        <v/>
      </c>
      <c r="K43" s="61">
        <f>ROUND(E43*(1+'Логика цен'!$B$3)*(1-'Логика цен'!$B$8),-3)</f>
        <v/>
      </c>
      <c r="L43" s="61">
        <f>ROUND(D43*'Логика цен'!$B$6,-3)</f>
        <v/>
      </c>
      <c r="M43" s="45" t="n"/>
    </row>
    <row r="44" ht="15" customHeight="1" s="38">
      <c r="A44" s="56" t="n">
        <v>37</v>
      </c>
      <c r="B44" s="57" t="inlineStr">
        <is>
          <t>Установка датчика движения/фотореле</t>
        </is>
      </c>
      <c r="C44" s="57" t="inlineStr">
        <is>
          <t>шт</t>
        </is>
      </c>
      <c r="D44" s="58" t="n">
        <v>180000</v>
      </c>
      <c r="E44" s="58" t="n">
        <v>250000</v>
      </c>
      <c r="F44" s="59">
        <f>ROUND(D44*(1+'Логика цен'!$B$3),-3)</f>
        <v/>
      </c>
      <c r="G44" s="59">
        <f>ROUND(E44*(1+'Логика цен'!$B$3),-3)</f>
        <v/>
      </c>
      <c r="H44" s="60">
        <f>ROUND(F44/(1+'Логика цен'!$B$9),-3)</f>
        <v/>
      </c>
      <c r="I44" s="61">
        <f>ROUND(G44/(1+'Логика цен'!$B$9),-3)</f>
        <v/>
      </c>
      <c r="J44" s="61">
        <f>ROUND(D44*(1+'Логика цен'!$B$3)*(1-'Логика цен'!$B$8),-3)</f>
        <v/>
      </c>
      <c r="K44" s="61">
        <f>ROUND(E44*(1+'Логика цен'!$B$3)*(1-'Логика цен'!$B$8),-3)</f>
        <v/>
      </c>
      <c r="L44" s="61">
        <f>ROUND(D44*'Логика цен'!$B$6,-3)</f>
        <v/>
      </c>
      <c r="M44" s="45" t="n"/>
    </row>
    <row r="45" ht="15" customHeight="1" s="38">
      <c r="A45" s="56" t="n">
        <v>38</v>
      </c>
      <c r="B45" s="57" t="inlineStr">
        <is>
          <t>Монтаж уличного освещения (светильник на фасад)</t>
        </is>
      </c>
      <c r="C45" s="57" t="inlineStr">
        <is>
          <t>шт</t>
        </is>
      </c>
      <c r="D45" s="58" t="n">
        <v>120000</v>
      </c>
      <c r="E45" s="58" t="n">
        <v>250000</v>
      </c>
      <c r="F45" s="59">
        <f>ROUND(D45*(1+'Логика цен'!$B$3),-3)</f>
        <v/>
      </c>
      <c r="G45" s="59">
        <f>ROUND(E45*(1+'Логика цен'!$B$3),-3)</f>
        <v/>
      </c>
      <c r="H45" s="60">
        <f>ROUND(F45/(1+'Логика цен'!$B$9),-3)</f>
        <v/>
      </c>
      <c r="I45" s="61">
        <f>ROUND(G45/(1+'Логика цен'!$B$9),-3)</f>
        <v/>
      </c>
      <c r="J45" s="61">
        <f>ROUND(D45*(1+'Логика цен'!$B$3)*(1-'Логика цен'!$B$8),-3)</f>
        <v/>
      </c>
      <c r="K45" s="61">
        <f>ROUND(E45*(1+'Логика цен'!$B$3)*(1-'Логика цен'!$B$8),-3)</f>
        <v/>
      </c>
      <c r="L45" s="61">
        <f>ROUND(D45*'Логика цен'!$B$6,-3)</f>
        <v/>
      </c>
      <c r="M45" s="45" t="n"/>
    </row>
    <row r="46" ht="15" customHeight="1" s="38">
      <c r="A46" s="56" t="n">
        <v>39</v>
      </c>
      <c r="B46" s="57" t="inlineStr">
        <is>
          <t>Замена автомата/УЗО в щитке</t>
        </is>
      </c>
      <c r="C46" s="57" t="inlineStr">
        <is>
          <t>шт</t>
        </is>
      </c>
      <c r="D46" s="58" t="n">
        <v>90000</v>
      </c>
      <c r="E46" s="58" t="n">
        <v>190000</v>
      </c>
      <c r="F46" s="59">
        <f>ROUND(D46*(1+'Логика цен'!$B$3),-3)</f>
        <v/>
      </c>
      <c r="G46" s="59">
        <f>ROUND(E46*(1+'Логика цен'!$B$3),-3)</f>
        <v/>
      </c>
      <c r="H46" s="60">
        <f>ROUND(F46/(1+'Логика цен'!$B$9),-3)</f>
        <v/>
      </c>
      <c r="I46" s="61">
        <f>ROUND(G46/(1+'Логика цен'!$B$9),-3)</f>
        <v/>
      </c>
      <c r="J46" s="61">
        <f>ROUND(D46*(1+'Логика цен'!$B$3)*(1-'Логика цен'!$B$8),-3)</f>
        <v/>
      </c>
      <c r="K46" s="61">
        <f>ROUND(E46*(1+'Логика цен'!$B$3)*(1-'Логика цен'!$B$8),-3)</f>
        <v/>
      </c>
      <c r="L46" s="61">
        <f>ROUND(D46*'Логика цен'!$B$6,-3)</f>
        <v/>
      </c>
      <c r="M46" s="45" t="n"/>
    </row>
    <row r="47" ht="15" customHeight="1" s="38">
      <c r="A47" s="56" t="n">
        <v>40</v>
      </c>
      <c r="B47" s="57" t="inlineStr">
        <is>
          <t>Установка реле напряжения</t>
        </is>
      </c>
      <c r="C47" s="57" t="inlineStr">
        <is>
          <t>шт</t>
        </is>
      </c>
      <c r="D47" s="58" t="n">
        <v>100000</v>
      </c>
      <c r="E47" s="58" t="n">
        <v>290000</v>
      </c>
      <c r="F47" s="59">
        <f>ROUND(D47*(1+'Логика цен'!$B$3),-3)</f>
        <v/>
      </c>
      <c r="G47" s="59">
        <f>ROUND(E47*(1+'Логика цен'!$B$3),-3)</f>
        <v/>
      </c>
      <c r="H47" s="60">
        <f>ROUND(F47/(1+'Логика цен'!$B$9),-3)</f>
        <v/>
      </c>
      <c r="I47" s="61">
        <f>ROUND(G47/(1+'Логика цен'!$B$9),-3)</f>
        <v/>
      </c>
      <c r="J47" s="61">
        <f>ROUND(D47*(1+'Логика цен'!$B$3)*(1-'Логика цен'!$B$8),-3)</f>
        <v/>
      </c>
      <c r="K47" s="61">
        <f>ROUND(E47*(1+'Логика цен'!$B$3)*(1-'Логика цен'!$B$8),-3)</f>
        <v/>
      </c>
      <c r="L47" s="61">
        <f>ROUND(D47*'Логика цен'!$B$6,-3)</f>
        <v/>
      </c>
      <c r="M47" s="45" t="inlineStr">
        <is>
          <t>Актуально при скачках в сети</t>
        </is>
      </c>
    </row>
    <row r="48" ht="15" customHeight="1" s="38">
      <c r="A48" s="56" t="n">
        <v>41</v>
      </c>
      <c r="B48" s="57" t="inlineStr">
        <is>
          <t>Сборка/ревизия электрощита (квартира)</t>
        </is>
      </c>
      <c r="C48" s="57" t="inlineStr">
        <is>
          <t>щит</t>
        </is>
      </c>
      <c r="D48" s="58" t="n">
        <v>300000</v>
      </c>
      <c r="E48" s="58" t="n">
        <v>1700000</v>
      </c>
      <c r="F48" s="59">
        <f>ROUND(D48*(1+'Логика цен'!$B$3),-3)</f>
        <v/>
      </c>
      <c r="G48" s="59">
        <f>ROUND(E48*(1+'Логика цен'!$B$3),-3)</f>
        <v/>
      </c>
      <c r="H48" s="60">
        <f>ROUND(F48/(1+'Логика цен'!$B$9),-3)</f>
        <v/>
      </c>
      <c r="I48" s="61">
        <f>ROUND(G48/(1+'Логика цен'!$B$9),-3)</f>
        <v/>
      </c>
      <c r="J48" s="61">
        <f>ROUND(D48*(1+'Логика цен'!$B$3)*(1-'Логика цен'!$B$8),-3)</f>
        <v/>
      </c>
      <c r="K48" s="61">
        <f>ROUND(E48*(1+'Логика цен'!$B$3)*(1-'Логика цен'!$B$8),-3)</f>
        <v/>
      </c>
      <c r="L48" s="61">
        <f>ROUND(D48*'Логика цен'!$B$6,-3)</f>
        <v/>
      </c>
      <c r="M48" s="45" t="n"/>
    </row>
    <row r="49" ht="15" customHeight="1" s="38">
      <c r="A49" s="56" t="n">
        <v>42</v>
      </c>
      <c r="B49" s="57" t="inlineStr">
        <is>
          <t>Сборка электрощита (офис/коммерция)</t>
        </is>
      </c>
      <c r="C49" s="57" t="inlineStr">
        <is>
          <t>щит</t>
        </is>
      </c>
      <c r="D49" s="58" t="n">
        <v>700000</v>
      </c>
      <c r="E49" s="58" t="n">
        <v>2500000</v>
      </c>
      <c r="F49" s="59">
        <f>ROUND(D49*(1+'Логика цен'!$B$3),-3)</f>
        <v/>
      </c>
      <c r="G49" s="59">
        <f>ROUND(E49*(1+'Логика цен'!$B$3),-3)</f>
        <v/>
      </c>
      <c r="H49" s="60">
        <f>ROUND(F49/(1+'Логика цен'!$B$9),-3)</f>
        <v/>
      </c>
      <c r="I49" s="61">
        <f>ROUND(G49/(1+'Логика цен'!$B$9),-3)</f>
        <v/>
      </c>
      <c r="J49" s="61">
        <f>ROUND(D49*(1+'Логика цен'!$B$3)*(1-'Логика цен'!$B$8),-3)</f>
        <v/>
      </c>
      <c r="K49" s="61">
        <f>ROUND(E49*(1+'Логика цен'!$B$3)*(1-'Логика цен'!$B$8),-3)</f>
        <v/>
      </c>
      <c r="L49" s="61">
        <f>ROUND(D49*'Логика цен'!$B$6,-3)</f>
        <v/>
      </c>
      <c r="M49" s="45" t="n"/>
    </row>
    <row r="50" ht="15" customHeight="1" s="38">
      <c r="A50" s="56" t="n">
        <v>43</v>
      </c>
      <c r="B50" s="57" t="inlineStr">
        <is>
          <t>Замена вводного кабеля (щиток—квартира)</t>
        </is>
      </c>
      <c r="C50" s="57" t="inlineStr">
        <is>
          <t>заявка</t>
        </is>
      </c>
      <c r="D50" s="58" t="n">
        <v>300000</v>
      </c>
      <c r="E50" s="58" t="n">
        <v>1600000</v>
      </c>
      <c r="F50" s="59">
        <f>ROUND(D50*(1+'Логика цен'!$B$3),-3)</f>
        <v/>
      </c>
      <c r="G50" s="59">
        <f>ROUND(E50*(1+'Логика цен'!$B$3),-3)</f>
        <v/>
      </c>
      <c r="H50" s="60">
        <f>ROUND(F50/(1+'Логика цен'!$B$9),-3)</f>
        <v/>
      </c>
      <c r="I50" s="61">
        <f>ROUND(G50/(1+'Логика цен'!$B$9),-3)</f>
        <v/>
      </c>
      <c r="J50" s="61">
        <f>ROUND(D50*(1+'Логика цен'!$B$3)*(1-'Логика цен'!$B$8),-3)</f>
        <v/>
      </c>
      <c r="K50" s="61">
        <f>ROUND(E50*(1+'Логика цен'!$B$3)*(1-'Логика цен'!$B$8),-3)</f>
        <v/>
      </c>
      <c r="L50" s="61">
        <f>ROUND(D50*'Логика цен'!$B$6,-3)</f>
        <v/>
      </c>
      <c r="M50" s="45" t="n"/>
    </row>
    <row r="51" ht="15" customHeight="1" s="38">
      <c r="A51" s="56" t="n">
        <v>44</v>
      </c>
      <c r="B51" s="57" t="inlineStr">
        <is>
          <t>Поиск неисправности (КЗ, нет питания)</t>
        </is>
      </c>
      <c r="C51" s="57" t="inlineStr">
        <is>
          <t>заявка</t>
        </is>
      </c>
      <c r="D51" s="58" t="n">
        <v>100000</v>
      </c>
      <c r="E51" s="58" t="n">
        <v>250000</v>
      </c>
      <c r="F51" s="59">
        <f>ROUND(D51*(1+'Логика цен'!$B$3),-3)</f>
        <v/>
      </c>
      <c r="G51" s="59">
        <f>ROUND(E51*(1+'Логика цен'!$B$3),-3)</f>
        <v/>
      </c>
      <c r="H51" s="60">
        <f>ROUND(F51/(1+'Логика цен'!$B$9),-3)</f>
        <v/>
      </c>
      <c r="I51" s="61">
        <f>ROUND(G51/(1+'Логика цен'!$B$9),-3)</f>
        <v/>
      </c>
      <c r="J51" s="61">
        <f>ROUND(D51*(1+'Логика цен'!$B$3)*(1-'Логика цен'!$B$8),-3)</f>
        <v/>
      </c>
      <c r="K51" s="61">
        <f>ROUND(E51*(1+'Логика цен'!$B$3)*(1-'Логика цен'!$B$8),-3)</f>
        <v/>
      </c>
      <c r="L51" s="61">
        <f>ROUND(D51*'Логика цен'!$B$6,-3)</f>
        <v/>
      </c>
      <c r="M51" s="45" t="n"/>
    </row>
    <row r="52" ht="15" customHeight="1" s="38">
      <c r="A52" s="56" t="n">
        <v>45</v>
      </c>
      <c r="B52" s="57" t="inlineStr">
        <is>
          <t>Прокладка кабеля открыто (кабель-канал)</t>
        </is>
      </c>
      <c r="C52" s="57" t="inlineStr">
        <is>
          <t>п.м</t>
        </is>
      </c>
      <c r="D52" s="58" t="n">
        <v>25000</v>
      </c>
      <c r="E52" s="58" t="n">
        <v>45000</v>
      </c>
      <c r="F52" s="59">
        <f>ROUND(D52*(1+'Логика цен'!$B$3),-3)</f>
        <v/>
      </c>
      <c r="G52" s="59">
        <f>ROUND(E52*(1+'Логика цен'!$B$3),-3)</f>
        <v/>
      </c>
      <c r="H52" s="60">
        <f>ROUND(F52/(1+'Логика цен'!$B$9),-3)</f>
        <v/>
      </c>
      <c r="I52" s="61">
        <f>ROUND(G52/(1+'Логика цен'!$B$9),-3)</f>
        <v/>
      </c>
      <c r="J52" s="61">
        <f>ROUND(D52*(1+'Логика цен'!$B$3)*(1-'Логика цен'!$B$8),-3)</f>
        <v/>
      </c>
      <c r="K52" s="61">
        <f>ROUND(E52*(1+'Логика цен'!$B$3)*(1-'Логика цен'!$B$8),-3)</f>
        <v/>
      </c>
      <c r="L52" s="61">
        <f>ROUND(D52*'Логика цен'!$B$6,-3)</f>
        <v/>
      </c>
      <c r="M52" s="45" t="n"/>
    </row>
    <row r="53" ht="15" customHeight="1" s="38">
      <c r="A53" s="56" t="n">
        <v>46</v>
      </c>
      <c r="B53" s="57" t="inlineStr">
        <is>
          <t>Скрытая прокладка кабеля (в готовую штробу)</t>
        </is>
      </c>
      <c r="C53" s="57" t="inlineStr">
        <is>
          <t>п.м</t>
        </is>
      </c>
      <c r="D53" s="58" t="n">
        <v>20000</v>
      </c>
      <c r="E53" s="58" t="n">
        <v>35000</v>
      </c>
      <c r="F53" s="59">
        <f>ROUND(D53*(1+'Логика цен'!$B$3),-3)</f>
        <v/>
      </c>
      <c r="G53" s="59">
        <f>ROUND(E53*(1+'Логика цен'!$B$3),-3)</f>
        <v/>
      </c>
      <c r="H53" s="60">
        <f>ROUND(F53/(1+'Логика цен'!$B$9),-3)</f>
        <v/>
      </c>
      <c r="I53" s="61">
        <f>ROUND(G53/(1+'Логика цен'!$B$9),-3)</f>
        <v/>
      </c>
      <c r="J53" s="61">
        <f>ROUND(D53*(1+'Логика цен'!$B$3)*(1-'Логика цен'!$B$8),-3)</f>
        <v/>
      </c>
      <c r="K53" s="61">
        <f>ROUND(E53*(1+'Логика цен'!$B$3)*(1-'Логика цен'!$B$8),-3)</f>
        <v/>
      </c>
      <c r="L53" s="61">
        <f>ROUND(D53*'Логика цен'!$B$6,-3)</f>
        <v/>
      </c>
      <c r="M53" s="45" t="inlineStr">
        <is>
          <t>Штроба — отдельно, см. раздел демонтажа</t>
        </is>
      </c>
    </row>
    <row r="54" ht="15" customHeight="1" s="38">
      <c r="A54" s="56" t="n">
        <v>47</v>
      </c>
      <c r="B54" s="57" t="inlineStr">
        <is>
          <t>Подключение варочной панели/духовки</t>
        </is>
      </c>
      <c r="C54" s="57" t="inlineStr">
        <is>
          <t>шт</t>
        </is>
      </c>
      <c r="D54" s="58" t="n">
        <v>120000</v>
      </c>
      <c r="E54" s="58" t="n">
        <v>250000</v>
      </c>
      <c r="F54" s="59">
        <f>ROUND(D54*(1+'Логика цен'!$B$3),-3)</f>
        <v/>
      </c>
      <c r="G54" s="59">
        <f>ROUND(E54*(1+'Логика цен'!$B$3),-3)</f>
        <v/>
      </c>
      <c r="H54" s="60">
        <f>ROUND(F54/(1+'Логика цен'!$B$9),-3)</f>
        <v/>
      </c>
      <c r="I54" s="61">
        <f>ROUND(G54/(1+'Логика цен'!$B$9),-3)</f>
        <v/>
      </c>
      <c r="J54" s="61">
        <f>ROUND(D54*(1+'Логика цен'!$B$3)*(1-'Логика цен'!$B$8),-3)</f>
        <v/>
      </c>
      <c r="K54" s="61">
        <f>ROUND(E54*(1+'Логика цен'!$B$3)*(1-'Логика цен'!$B$8),-3)</f>
        <v/>
      </c>
      <c r="L54" s="61">
        <f>ROUND(D54*'Логика цен'!$B$6,-3)</f>
        <v/>
      </c>
      <c r="M54" s="45" t="n"/>
    </row>
    <row r="55" ht="15" customHeight="1" s="38">
      <c r="A55" s="56" t="n">
        <v>48</v>
      </c>
      <c r="B55" s="57" t="inlineStr">
        <is>
          <t>Монтаж/подключение электрического тёплого пола</t>
        </is>
      </c>
      <c r="C55" s="57" t="inlineStr">
        <is>
          <t>м²</t>
        </is>
      </c>
      <c r="D55" s="58" t="n">
        <v>80000</v>
      </c>
      <c r="E55" s="58" t="n">
        <v>180000</v>
      </c>
      <c r="F55" s="59">
        <f>ROUND(D55*(1+'Логика цен'!$B$3),-3)</f>
        <v/>
      </c>
      <c r="G55" s="59">
        <f>ROUND(E55*(1+'Логика цен'!$B$3),-3)</f>
        <v/>
      </c>
      <c r="H55" s="60">
        <f>ROUND(F55/(1+'Логика цен'!$B$9),-3)</f>
        <v/>
      </c>
      <c r="I55" s="61">
        <f>ROUND(G55/(1+'Логика цен'!$B$9),-3)</f>
        <v/>
      </c>
      <c r="J55" s="61">
        <f>ROUND(D55*(1+'Логика цен'!$B$3)*(1-'Логика цен'!$B$8),-3)</f>
        <v/>
      </c>
      <c r="K55" s="61">
        <f>ROUND(E55*(1+'Логика цен'!$B$3)*(1-'Логика цен'!$B$8),-3)</f>
        <v/>
      </c>
      <c r="L55" s="61">
        <f>ROUND(D55*'Логика цен'!$B$6,-3)</f>
        <v/>
      </c>
      <c r="M55" s="45" t="inlineStr">
        <is>
          <t>Без стяжки</t>
        </is>
      </c>
    </row>
    <row r="56" ht="26.25" customHeight="1" s="38">
      <c r="A56" s="56" t="n">
        <v>49</v>
      </c>
      <c r="B56" s="57" t="inlineStr">
        <is>
          <t>Установка счётчика электроэнергии (без опломбировки)</t>
        </is>
      </c>
      <c r="C56" s="57" t="inlineStr">
        <is>
          <t>шт</t>
        </is>
      </c>
      <c r="D56" s="58" t="n">
        <v>250000</v>
      </c>
      <c r="E56" s="58" t="n">
        <v>350000</v>
      </c>
      <c r="F56" s="59">
        <f>ROUND(D56*(1+'Логика цен'!$B$3),-3)</f>
        <v/>
      </c>
      <c r="G56" s="59">
        <f>ROUND(E56*(1+'Логика цен'!$B$3),-3)</f>
        <v/>
      </c>
      <c r="H56" s="60">
        <f>ROUND(F56/(1+'Логика цен'!$B$9),-3)</f>
        <v/>
      </c>
      <c r="I56" s="61">
        <f>ROUND(G56/(1+'Логика цен'!$B$9),-3)</f>
        <v/>
      </c>
      <c r="J56" s="61">
        <f>ROUND(D56*(1+'Логика цен'!$B$3)*(1-'Логика цен'!$B$8),-3)</f>
        <v/>
      </c>
      <c r="K56" s="61">
        <f>ROUND(E56*(1+'Логика цен'!$B$3)*(1-'Логика цен'!$B$8),-3)</f>
        <v/>
      </c>
      <c r="L56" s="61">
        <f>ROUND(D56*'Логика цен'!$B$6,-3)</f>
        <v/>
      </c>
      <c r="M56" s="45" t="n"/>
    </row>
    <row r="57" ht="15" customHeight="1" s="38">
      <c r="A57" s="56" t="n">
        <v>50</v>
      </c>
      <c r="B57" s="57" t="inlineStr">
        <is>
          <t>Монтаж заземления (контур для частного дома)</t>
        </is>
      </c>
      <c r="C57" s="57" t="inlineStr">
        <is>
          <t>объект</t>
        </is>
      </c>
      <c r="D57" s="58" t="n">
        <v>1800000</v>
      </c>
      <c r="E57" s="58" t="n">
        <v>3500000</v>
      </c>
      <c r="F57" s="59">
        <f>ROUND(D57*(1+'Логика цен'!$B$3),-3)</f>
        <v/>
      </c>
      <c r="G57" s="59">
        <f>ROUND(E57*(1+'Логика цен'!$B$3),-3)</f>
        <v/>
      </c>
      <c r="H57" s="60">
        <f>ROUND(F57/(1+'Логика цен'!$B$9),-3)</f>
        <v/>
      </c>
      <c r="I57" s="61">
        <f>ROUND(G57/(1+'Логика цен'!$B$9),-3)</f>
        <v/>
      </c>
      <c r="J57" s="61">
        <f>ROUND(D57*(1+'Логика цен'!$B$3)*(1-'Логика цен'!$B$8),-3)</f>
        <v/>
      </c>
      <c r="K57" s="61">
        <f>ROUND(E57*(1+'Логика цен'!$B$3)*(1-'Логика цен'!$B$8),-3)</f>
        <v/>
      </c>
      <c r="L57" s="61">
        <f>ROUND(D57*'Логика цен'!$B$6,-3)</f>
        <v/>
      </c>
      <c r="M57" s="45" t="inlineStr">
        <is>
          <t xml:space="preserve">без учёта материала (металлополосы) </t>
        </is>
      </c>
    </row>
    <row r="58" ht="15" customHeight="1" s="38">
      <c r="A58" s="56" t="n">
        <v>51</v>
      </c>
      <c r="B58" s="57" t="inlineStr">
        <is>
          <t>Установка стабилизатора напряжения</t>
        </is>
      </c>
      <c r="C58" s="57" t="inlineStr">
        <is>
          <t>шт</t>
        </is>
      </c>
      <c r="D58" s="58" t="n">
        <v>150000</v>
      </c>
      <c r="E58" s="58" t="n">
        <v>300000</v>
      </c>
      <c r="F58" s="59">
        <f>ROUND(D58*(1+'Логика цен'!$B$3),-3)</f>
        <v/>
      </c>
      <c r="G58" s="59">
        <f>ROUND(E58*(1+'Логика цен'!$B$3),-3)</f>
        <v/>
      </c>
      <c r="H58" s="60">
        <f>ROUND(F58/(1+'Логика цен'!$B$9),-3)</f>
        <v/>
      </c>
      <c r="I58" s="61">
        <f>ROUND(G58/(1+'Логика цен'!$B$9),-3)</f>
        <v/>
      </c>
      <c r="J58" s="61">
        <f>ROUND(D58*(1+'Логика цен'!$B$3)*(1-'Логика цен'!$B$8),-3)</f>
        <v/>
      </c>
      <c r="K58" s="61">
        <f>ROUND(E58*(1+'Логика цен'!$B$3)*(1-'Логика цен'!$B$8),-3)</f>
        <v/>
      </c>
      <c r="L58" s="61">
        <f>ROUND(D58*'Логика цен'!$B$6,-3)</f>
        <v/>
      </c>
      <c r="M58" s="45" t="n"/>
    </row>
    <row r="59" ht="26.25" customHeight="1" s="38">
      <c r="A59" s="56" t="n">
        <v>52</v>
      </c>
      <c r="B59" s="57" t="inlineStr">
        <is>
          <t>Замена лампочки (разово)</t>
        </is>
      </c>
      <c r="C59" s="57" t="inlineStr">
        <is>
          <t>шт</t>
        </is>
      </c>
      <c r="D59" s="58" t="n">
        <v>20000</v>
      </c>
      <c r="E59" s="58" t="n">
        <v>40000</v>
      </c>
      <c r="F59" s="59">
        <f>ROUND(D59*(1+'Логика цен'!$B$3),-3)</f>
        <v/>
      </c>
      <c r="G59" s="59">
        <f>ROUND(E59*(1+'Логика цен'!$B$3),-3)</f>
        <v/>
      </c>
      <c r="H59" s="60">
        <f>ROUND(F59/(1+'Логика цен'!$B$9),-3)</f>
        <v/>
      </c>
      <c r="I59" s="61">
        <f>ROUND(G59/(1+'Логика цен'!$B$9),-3)</f>
        <v/>
      </c>
      <c r="J59" s="61">
        <f>ROUND(D59*(1+'Логика цен'!$B$3)*(1-'Логика цен'!$B$8),-3)</f>
        <v/>
      </c>
      <c r="K59" s="61">
        <f>ROUND(E59*(1+'Логика цен'!$B$3)*(1-'Логика цен'!$B$8),-3)</f>
        <v/>
      </c>
      <c r="L59" s="61">
        <f>ROUND(D59*'Логика цен'!$B$6,-3)</f>
        <v/>
      </c>
      <c r="M59" s="45" t="inlineStr">
        <is>
          <t>Действует минимальный чек выезда — выгодно вместе с другими работами</t>
        </is>
      </c>
    </row>
    <row r="60" ht="15" customHeight="1" s="38">
      <c r="A60" s="56" t="n">
        <v>53</v>
      </c>
      <c r="B60" s="57" t="inlineStr">
        <is>
          <t>Замена патрона/цоколя светильника</t>
        </is>
      </c>
      <c r="C60" s="57" t="inlineStr">
        <is>
          <t>шт</t>
        </is>
      </c>
      <c r="D60" s="58" t="n">
        <v>40000</v>
      </c>
      <c r="E60" s="58" t="n">
        <v>90000</v>
      </c>
      <c r="F60" s="59">
        <f>ROUND(D60*(1+'Логика цен'!$B$3),-3)</f>
        <v/>
      </c>
      <c r="G60" s="59">
        <f>ROUND(E60*(1+'Логика цен'!$B$3),-3)</f>
        <v/>
      </c>
      <c r="H60" s="60">
        <f>ROUND(F60/(1+'Логика цен'!$B$9),-3)</f>
        <v/>
      </c>
      <c r="I60" s="61">
        <f>ROUND(G60/(1+'Логика цен'!$B$9),-3)</f>
        <v/>
      </c>
      <c r="J60" s="61">
        <f>ROUND(D60*(1+'Логика цен'!$B$3)*(1-'Логика цен'!$B$8),-3)</f>
        <v/>
      </c>
      <c r="K60" s="61">
        <f>ROUND(E60*(1+'Логика цен'!$B$3)*(1-'Логика цен'!$B$8),-3)</f>
        <v/>
      </c>
      <c r="L60" s="61">
        <f>ROUND(D60*'Логика цен'!$B$6,-3)</f>
        <v/>
      </c>
      <c r="M60" s="45" t="n"/>
    </row>
    <row r="61" ht="15" customHeight="1" s="38">
      <c r="A61" s="56" t="n">
        <v>54</v>
      </c>
      <c r="B61" s="57" t="inlineStr">
        <is>
          <t>Замена ламп/светильников (пакет, от 10 шт)</t>
        </is>
      </c>
      <c r="C61" s="57" t="inlineStr">
        <is>
          <t>шт</t>
        </is>
      </c>
      <c r="D61" s="58" t="n">
        <v>15000</v>
      </c>
      <c r="E61" s="58" t="n">
        <v>30000</v>
      </c>
      <c r="F61" s="59">
        <f>ROUND(D61*(1+'Логика цен'!$B$3),-3)</f>
        <v/>
      </c>
      <c r="G61" s="59">
        <f>ROUND(E61*(1+'Логика цен'!$B$3),-3)</f>
        <v/>
      </c>
      <c r="H61" s="60">
        <f>ROUND(F61/(1+'Логика цен'!$B$9),-3)</f>
        <v/>
      </c>
      <c r="I61" s="61">
        <f>ROUND(G61/(1+'Логика цен'!$B$9),-3)</f>
        <v/>
      </c>
      <c r="J61" s="61">
        <f>ROUND(D61*(1+'Логика цен'!$B$3)*(1-'Логика цен'!$B$8),-3)</f>
        <v/>
      </c>
      <c r="K61" s="61">
        <f>ROUND(E61*(1+'Логика цен'!$B$3)*(1-'Логика цен'!$B$8),-3)</f>
        <v/>
      </c>
      <c r="L61" s="61">
        <f>ROUND(D61*'Логика цен'!$B$6,-3)</f>
        <v/>
      </c>
      <c r="M61" s="45" t="inlineStr">
        <is>
          <t>B2B: офисы, ТЦ — массовая замена</t>
        </is>
      </c>
    </row>
    <row r="62" ht="15" customHeight="1" s="38">
      <c r="A62" s="53" t="inlineStr">
        <is>
          <t>ДЕМОНТАЖ, БУРЕНИЕ, ШТРОБЛЕНИЕ</t>
        </is>
      </c>
      <c r="B62" s="54" t="n"/>
      <c r="C62" s="54" t="n"/>
      <c r="D62" s="54" t="n"/>
      <c r="E62" s="54" t="n"/>
      <c r="F62" s="54" t="n"/>
      <c r="G62" s="54" t="n"/>
      <c r="H62" s="55" t="n"/>
    </row>
    <row r="63" ht="15" customHeight="1" s="38">
      <c r="A63" s="56" t="n">
        <v>55</v>
      </c>
      <c r="B63" s="57" t="inlineStr">
        <is>
          <t>Штроба в штукатурке/гипсе (до 20×20 мм)</t>
        </is>
      </c>
      <c r="C63" s="57" t="inlineStr">
        <is>
          <t>п.м</t>
        </is>
      </c>
      <c r="D63" s="58" t="n">
        <v>25000</v>
      </c>
      <c r="E63" s="58" t="n">
        <v>40000</v>
      </c>
      <c r="F63" s="59">
        <f>ROUND(D63*(1+'Логика цен'!$B$3),-3)</f>
        <v/>
      </c>
      <c r="G63" s="59">
        <f>ROUND(E63*(1+'Логика цен'!$B$3),-3)</f>
        <v/>
      </c>
      <c r="H63" s="60">
        <f>ROUND(F63/(1+'Логика цен'!$B$9),-3)</f>
        <v/>
      </c>
      <c r="I63" s="61">
        <f>ROUND(G63/(1+'Логика цен'!$B$9),-3)</f>
        <v/>
      </c>
      <c r="J63" s="61">
        <f>ROUND(D63*(1+'Логика цен'!$B$3)*(1-'Логика цен'!$B$8),-3)</f>
        <v/>
      </c>
      <c r="K63" s="61">
        <f>ROUND(E63*(1+'Логика цен'!$B$3)*(1-'Логика цен'!$B$8),-3)</f>
        <v/>
      </c>
      <c r="L63" s="61">
        <f>ROUND(D63*'Логика цен'!$B$6,-3)</f>
        <v/>
      </c>
      <c r="M63" s="45" t="n"/>
    </row>
    <row r="64" ht="15" customHeight="1" s="38">
      <c r="A64" s="56" t="n">
        <v>56</v>
      </c>
      <c r="B64" s="57" t="inlineStr">
        <is>
          <t>Штроба в кирпиче</t>
        </is>
      </c>
      <c r="C64" s="57" t="inlineStr">
        <is>
          <t>п.м</t>
        </is>
      </c>
      <c r="D64" s="58" t="n">
        <v>40000</v>
      </c>
      <c r="E64" s="58" t="n">
        <v>60000</v>
      </c>
      <c r="F64" s="59">
        <f>ROUND(D64*(1+'Логика цен'!$B$3),-3)</f>
        <v/>
      </c>
      <c r="G64" s="59">
        <f>ROUND(E64*(1+'Логика цен'!$B$3),-3)</f>
        <v/>
      </c>
      <c r="H64" s="60">
        <f>ROUND(F64/(1+'Логика цен'!$B$9),-3)</f>
        <v/>
      </c>
      <c r="I64" s="61">
        <f>ROUND(G64/(1+'Логика цен'!$B$9),-3)</f>
        <v/>
      </c>
      <c r="J64" s="61">
        <f>ROUND(D64*(1+'Логика цен'!$B$3)*(1-'Логика цен'!$B$8),-3)</f>
        <v/>
      </c>
      <c r="K64" s="61">
        <f>ROUND(E64*(1+'Логика цен'!$B$3)*(1-'Логика цен'!$B$8),-3)</f>
        <v/>
      </c>
      <c r="L64" s="61">
        <f>ROUND(D64*'Логика цен'!$B$6,-3)</f>
        <v/>
      </c>
      <c r="M64" s="45" t="n"/>
    </row>
    <row r="65" ht="15" customHeight="1" s="38">
      <c r="A65" s="56" t="n">
        <v>57</v>
      </c>
      <c r="B65" s="57" t="inlineStr">
        <is>
          <t>Штроба в бетоне</t>
        </is>
      </c>
      <c r="C65" s="57" t="inlineStr">
        <is>
          <t>п.м</t>
        </is>
      </c>
      <c r="D65" s="58" t="n">
        <v>60000</v>
      </c>
      <c r="E65" s="58" t="n">
        <v>100000</v>
      </c>
      <c r="F65" s="59">
        <f>ROUND(D65*(1+'Логика цен'!$B$3),-3)</f>
        <v/>
      </c>
      <c r="G65" s="59">
        <f>ROUND(E65*(1+'Логика цен'!$B$3),-3)</f>
        <v/>
      </c>
      <c r="H65" s="60">
        <f>ROUND(F65/(1+'Логика цен'!$B$9),-3)</f>
        <v/>
      </c>
      <c r="I65" s="61">
        <f>ROUND(G65/(1+'Логика цен'!$B$9),-3)</f>
        <v/>
      </c>
      <c r="J65" s="61">
        <f>ROUND(D65*(1+'Логика цен'!$B$3)*(1-'Логика цен'!$B$8),-3)</f>
        <v/>
      </c>
      <c r="K65" s="61">
        <f>ROUND(E65*(1+'Логика цен'!$B$3)*(1-'Логика цен'!$B$8),-3)</f>
        <v/>
      </c>
      <c r="L65" s="61">
        <f>ROUND(D65*'Логика цен'!$B$6,-3)</f>
        <v/>
      </c>
      <c r="M65" s="45" t="n"/>
    </row>
    <row r="66" ht="15" customHeight="1" s="38">
      <c r="A66" s="56" t="n">
        <v>58</v>
      </c>
      <c r="B66" s="57" t="inlineStr">
        <is>
          <t>Отверстие перфоратором в кирпиче/гипсе (до 22 мм)</t>
        </is>
      </c>
      <c r="C66" s="57" t="inlineStr">
        <is>
          <t>шт</t>
        </is>
      </c>
      <c r="D66" s="58" t="n">
        <v>25000</v>
      </c>
      <c r="E66" s="58" t="n">
        <v>40000</v>
      </c>
      <c r="F66" s="59">
        <f>ROUND(D66*(1+'Логика цен'!$B$3),-3)</f>
        <v/>
      </c>
      <c r="G66" s="59">
        <f>ROUND(E66*(1+'Логика цен'!$B$3),-3)</f>
        <v/>
      </c>
      <c r="H66" s="60">
        <f>ROUND(F66/(1+'Логика цен'!$B$9),-3)</f>
        <v/>
      </c>
      <c r="I66" s="61">
        <f>ROUND(G66/(1+'Логика цен'!$B$9),-3)</f>
        <v/>
      </c>
      <c r="J66" s="61">
        <f>ROUND(D66*(1+'Логика цен'!$B$3)*(1-'Логика цен'!$B$8),-3)</f>
        <v/>
      </c>
      <c r="K66" s="61">
        <f>ROUND(E66*(1+'Логика цен'!$B$3)*(1-'Логика цен'!$B$8),-3)</f>
        <v/>
      </c>
      <c r="L66" s="61">
        <f>ROUND(D66*'Логика цен'!$B$6,-3)</f>
        <v/>
      </c>
      <c r="M66" s="45" t="n"/>
    </row>
    <row r="67" ht="15" customHeight="1" s="38">
      <c r="A67" s="56" t="n">
        <v>59</v>
      </c>
      <c r="B67" s="57" t="inlineStr">
        <is>
          <t>Отверстие перфоратором в бетоне (до 22 мм)</t>
        </is>
      </c>
      <c r="C67" s="57" t="inlineStr">
        <is>
          <t>шт</t>
        </is>
      </c>
      <c r="D67" s="58" t="n">
        <v>45000</v>
      </c>
      <c r="E67" s="58" t="n">
        <v>70000</v>
      </c>
      <c r="F67" s="59">
        <f>ROUND(D67*(1+'Логика цен'!$B$3),-3)</f>
        <v/>
      </c>
      <c r="G67" s="59">
        <f>ROUND(E67*(1+'Логика цен'!$B$3),-3)</f>
        <v/>
      </c>
      <c r="H67" s="60">
        <f>ROUND(F67/(1+'Логика цен'!$B$9),-3)</f>
        <v/>
      </c>
      <c r="I67" s="61">
        <f>ROUND(G67/(1+'Логика цен'!$B$9),-3)</f>
        <v/>
      </c>
      <c r="J67" s="61">
        <f>ROUND(D67*(1+'Логика цен'!$B$3)*(1-'Логика цен'!$B$8),-3)</f>
        <v/>
      </c>
      <c r="K67" s="61">
        <f>ROUND(E67*(1+'Логика цен'!$B$3)*(1-'Логика цен'!$B$8),-3)</f>
        <v/>
      </c>
      <c r="L67" s="61">
        <f>ROUND(D67*'Логика цен'!$B$6,-3)</f>
        <v/>
      </c>
      <c r="M67" s="45" t="n"/>
    </row>
    <row r="68" ht="26.25" customHeight="1" s="38">
      <c r="A68" s="56" t="n">
        <v>60</v>
      </c>
      <c r="B68" s="57" t="inlineStr">
        <is>
          <t>Сквозное отверстие под трассу кондиционера (до 50 мм)</t>
        </is>
      </c>
      <c r="C68" s="57" t="inlineStr">
        <is>
          <t>шт</t>
        </is>
      </c>
      <c r="D68" s="58" t="n">
        <v>280000</v>
      </c>
      <c r="E68" s="58" t="n">
        <v>450000</v>
      </c>
      <c r="F68" s="59">
        <f>ROUND(D68*(1+'Логика цен'!$B$3),-3)</f>
        <v/>
      </c>
      <c r="G68" s="59">
        <f>ROUND(E68*(1+'Логика цен'!$B$3),-3)</f>
        <v/>
      </c>
      <c r="H68" s="60">
        <f>ROUND(F68/(1+'Логика цен'!$B$9),-3)</f>
        <v/>
      </c>
      <c r="I68" s="61">
        <f>ROUND(G68/(1+'Логика цен'!$B$9),-3)</f>
        <v/>
      </c>
      <c r="J68" s="61">
        <f>ROUND(D68*(1+'Логика цен'!$B$3)*(1-'Логика цен'!$B$8),-3)</f>
        <v/>
      </c>
      <c r="K68" s="61">
        <f>ROUND(E68*(1+'Логика цен'!$B$3)*(1-'Логика цен'!$B$8),-3)</f>
        <v/>
      </c>
      <c r="L68" s="61">
        <f>ROUND(D68*'Логика цен'!$B$6,-3)</f>
        <v/>
      </c>
      <c r="M68" s="45" t="inlineStr">
        <is>
          <t>Бетон/толщина стены</t>
        </is>
      </c>
    </row>
    <row r="69" ht="15" customHeight="1" s="38">
      <c r="A69" s="56" t="n">
        <v>61</v>
      </c>
      <c r="B69" s="57" t="inlineStr">
        <is>
          <t>Алмазное бурение (под канализацию, 100–110 мм)</t>
        </is>
      </c>
      <c r="C69" s="57" t="inlineStr">
        <is>
          <t>шт</t>
        </is>
      </c>
      <c r="D69" s="58" t="n">
        <v>280000</v>
      </c>
      <c r="E69" s="58" t="n">
        <v>450000</v>
      </c>
      <c r="F69" s="59">
        <f>ROUND(D69*(1+'Логика цен'!$B$3),-3)</f>
        <v/>
      </c>
      <c r="G69" s="59">
        <f>ROUND(E69*(1+'Логика цен'!$B$3),-3)</f>
        <v/>
      </c>
      <c r="H69" s="60">
        <f>ROUND(F69/(1+'Логика цен'!$B$9),-3)</f>
        <v/>
      </c>
      <c r="I69" s="61">
        <f>ROUND(G69/(1+'Логика цен'!$B$9),-3)</f>
        <v/>
      </c>
      <c r="J69" s="61">
        <f>ROUND(D69*(1+'Логика цен'!$B$3)*(1-'Логика цен'!$B$8),-3)</f>
        <v/>
      </c>
      <c r="K69" s="61">
        <f>ROUND(E69*(1+'Логика цен'!$B$3)*(1-'Логика цен'!$B$8),-3)</f>
        <v/>
      </c>
      <c r="L69" s="61">
        <f>ROUND(D69*'Логика цен'!$B$6,-3)</f>
        <v/>
      </c>
      <c r="M69" s="45" t="n"/>
    </row>
    <row r="70" ht="15" customHeight="1" s="38">
      <c r="A70" s="56" t="n">
        <v>62</v>
      </c>
      <c r="B70" s="57" t="inlineStr">
        <is>
          <t>Сверление кафеля/керамогранита (аккуратное)</t>
        </is>
      </c>
      <c r="C70" s="57" t="inlineStr">
        <is>
          <t>шт</t>
        </is>
      </c>
      <c r="D70" s="58" t="n">
        <v>30000</v>
      </c>
      <c r="E70" s="58" t="n">
        <v>40000</v>
      </c>
      <c r="F70" s="59">
        <f>ROUND(D70*(1+'Логика цен'!$B$3),-3)</f>
        <v/>
      </c>
      <c r="G70" s="59">
        <f>ROUND(E70*(1+'Логика цен'!$B$3),-3)</f>
        <v/>
      </c>
      <c r="H70" s="60">
        <f>ROUND(F70/(1+'Логика цен'!$B$9),-3)</f>
        <v/>
      </c>
      <c r="I70" s="61">
        <f>ROUND(G70/(1+'Логика цен'!$B$9),-3)</f>
        <v/>
      </c>
      <c r="J70" s="61">
        <f>ROUND(D70*(1+'Логика цен'!$B$3)*(1-'Логика цен'!$B$8),-3)</f>
        <v/>
      </c>
      <c r="K70" s="61">
        <f>ROUND(E70*(1+'Логика цен'!$B$3)*(1-'Логика цен'!$B$8),-3)</f>
        <v/>
      </c>
      <c r="L70" s="61">
        <f>ROUND(D70*'Логика цен'!$B$6,-3)</f>
        <v/>
      </c>
      <c r="M70" s="45" t="inlineStr">
        <is>
          <t>цена указана за отверстие от 6-10мм</t>
        </is>
      </c>
    </row>
    <row r="71" ht="15" customHeight="1" s="38">
      <c r="A71" s="56" t="n">
        <v>63</v>
      </c>
      <c r="B71" s="57" t="inlineStr">
        <is>
          <t>Демонтаж плитки</t>
        </is>
      </c>
      <c r="C71" s="57" t="inlineStr">
        <is>
          <t>м²</t>
        </is>
      </c>
      <c r="D71" s="58" t="n">
        <v>30000</v>
      </c>
      <c r="E71" s="58" t="n">
        <v>60000</v>
      </c>
      <c r="F71" s="59">
        <f>ROUND(D71*(1+'Логика цен'!$B$3),-3)</f>
        <v/>
      </c>
      <c r="G71" s="59">
        <f>ROUND(E71*(1+'Логика цен'!$B$3),-3)</f>
        <v/>
      </c>
      <c r="H71" s="60">
        <f>ROUND(F71/(1+'Логика цен'!$B$9),-3)</f>
        <v/>
      </c>
      <c r="I71" s="61">
        <f>ROUND(G71/(1+'Логика цен'!$B$9),-3)</f>
        <v/>
      </c>
      <c r="J71" s="61">
        <f>ROUND(D71*(1+'Логика цен'!$B$3)*(1-'Логика цен'!$B$8),-3)</f>
        <v/>
      </c>
      <c r="K71" s="61">
        <f>ROUND(E71*(1+'Логика цен'!$B$3)*(1-'Логика цен'!$B$8),-3)</f>
        <v/>
      </c>
      <c r="L71" s="61">
        <f>ROUND(D71*'Логика цен'!$B$6,-3)</f>
        <v/>
      </c>
      <c r="M71" s="45" t="n"/>
    </row>
    <row r="72" ht="15" customHeight="1" s="38">
      <c r="A72" s="56" t="n">
        <v>64</v>
      </c>
      <c r="B72" s="57" t="inlineStr">
        <is>
          <t>Демонтаж сантехники (унитаз/ванна/раковина)</t>
        </is>
      </c>
      <c r="C72" s="57" t="inlineStr">
        <is>
          <t>шт</t>
        </is>
      </c>
      <c r="D72" s="58" t="n">
        <v>80000</v>
      </c>
      <c r="E72" s="58" t="n">
        <v>200000</v>
      </c>
      <c r="F72" s="59">
        <f>ROUND(D72*(1+'Логика цен'!$B$3),-3)</f>
        <v/>
      </c>
      <c r="G72" s="59">
        <f>ROUND(E72*(1+'Логика цен'!$B$3),-3)</f>
        <v/>
      </c>
      <c r="H72" s="60">
        <f>ROUND(F72/(1+'Логика цен'!$B$9),-3)</f>
        <v/>
      </c>
      <c r="I72" s="61">
        <f>ROUND(G72/(1+'Логика цен'!$B$9),-3)</f>
        <v/>
      </c>
      <c r="J72" s="61">
        <f>ROUND(D72*(1+'Логика цен'!$B$3)*(1-'Логика цен'!$B$8),-3)</f>
        <v/>
      </c>
      <c r="K72" s="61">
        <f>ROUND(E72*(1+'Логика цен'!$B$3)*(1-'Логика цен'!$B$8),-3)</f>
        <v/>
      </c>
      <c r="L72" s="61">
        <f>ROUND(D72*'Логика цен'!$B$6,-3)</f>
        <v/>
      </c>
      <c r="M72" s="45" t="inlineStr">
        <is>
          <t>Чугунная ванна — верх диапазона</t>
        </is>
      </c>
    </row>
    <row r="73" ht="15" customHeight="1" s="38">
      <c r="A73" s="56" t="n">
        <v>65</v>
      </c>
      <c r="B73" s="57" t="inlineStr">
        <is>
          <t>Демонтаж перегородки (гипсокартон)</t>
        </is>
      </c>
      <c r="C73" s="57" t="inlineStr">
        <is>
          <t>м²</t>
        </is>
      </c>
      <c r="D73" s="58" t="n">
        <v>20000</v>
      </c>
      <c r="E73" s="58" t="n">
        <v>50000</v>
      </c>
      <c r="F73" s="59">
        <f>ROUND(D73*(1+'Логика цен'!$B$3),-3)</f>
        <v/>
      </c>
      <c r="G73" s="59">
        <f>ROUND(E73*(1+'Логика цен'!$B$3),-3)</f>
        <v/>
      </c>
      <c r="H73" s="60">
        <f>ROUND(F73/(1+'Логика цен'!$B$9),-3)</f>
        <v/>
      </c>
      <c r="I73" s="61">
        <f>ROUND(G73/(1+'Логика цен'!$B$9),-3)</f>
        <v/>
      </c>
      <c r="J73" s="61">
        <f>ROUND(D73*(1+'Логика цен'!$B$3)*(1-'Логика цен'!$B$8),-3)</f>
        <v/>
      </c>
      <c r="K73" s="61">
        <f>ROUND(E73*(1+'Логика цен'!$B$3)*(1-'Логика цен'!$B$8),-3)</f>
        <v/>
      </c>
      <c r="L73" s="61">
        <f>ROUND(D73*'Логика цен'!$B$6,-3)</f>
        <v/>
      </c>
      <c r="M73" s="45" t="n"/>
    </row>
    <row r="74" ht="15" customHeight="1" s="38">
      <c r="A74" s="56" t="n">
        <v>66</v>
      </c>
      <c r="B74" s="57" t="inlineStr">
        <is>
          <t>Снятие обоев/старой краски</t>
        </is>
      </c>
      <c r="C74" s="57" t="inlineStr">
        <is>
          <t>м²</t>
        </is>
      </c>
      <c r="D74" s="58" t="n">
        <v>25000</v>
      </c>
      <c r="E74" s="58" t="n">
        <v>40000</v>
      </c>
      <c r="F74" s="59">
        <f>ROUND(D74*(1+'Логика цен'!$B$3),-3)</f>
        <v/>
      </c>
      <c r="G74" s="59">
        <f>ROUND(E74*(1+'Логика цен'!$B$3),-3)</f>
        <v/>
      </c>
      <c r="H74" s="60">
        <f>ROUND(F74/(1+'Логика цен'!$B$9),-3)</f>
        <v/>
      </c>
      <c r="I74" s="61">
        <f>ROUND(G74/(1+'Логика цен'!$B$9),-3)</f>
        <v/>
      </c>
      <c r="J74" s="61">
        <f>ROUND(D74*(1+'Логика цен'!$B$3)*(1-'Логика цен'!$B$8),-3)</f>
        <v/>
      </c>
      <c r="K74" s="61">
        <f>ROUND(E74*(1+'Логика цен'!$B$3)*(1-'Логика цен'!$B$8),-3)</f>
        <v/>
      </c>
      <c r="L74" s="61">
        <f>ROUND(D74*'Логика цен'!$B$6,-3)</f>
        <v/>
      </c>
      <c r="M74" s="45" t="n"/>
    </row>
    <row r="75" ht="15" customHeight="1" s="38">
      <c r="A75" s="56" t="n">
        <v>67</v>
      </c>
      <c r="B75" s="57" t="inlineStr">
        <is>
          <t>Вынос мусора после демонтажа</t>
        </is>
      </c>
      <c r="C75" s="57" t="inlineStr">
        <is>
          <t>заявка</t>
        </is>
      </c>
      <c r="D75" s="58" t="n">
        <v>300000</v>
      </c>
      <c r="E75" s="58" t="n">
        <v>450000</v>
      </c>
      <c r="F75" s="59">
        <f>ROUND(D75*(1+'Логика цен'!$B$3),-3)</f>
        <v/>
      </c>
      <c r="G75" s="59">
        <f>ROUND(E75*(1+'Логика цен'!$B$3),-3)</f>
        <v/>
      </c>
      <c r="H75" s="60">
        <f>ROUND(F75/(1+'Логика цен'!$B$9),-3)</f>
        <v/>
      </c>
      <c r="I75" s="61">
        <f>ROUND(G75/(1+'Логика цен'!$B$9),-3)</f>
        <v/>
      </c>
      <c r="J75" s="61">
        <f>ROUND(D75*(1+'Логика цен'!$B$3)*(1-'Логика цен'!$B$8),-3)</f>
        <v/>
      </c>
      <c r="K75" s="61">
        <f>ROUND(E75*(1+'Логика цен'!$B$3)*(1-'Логика цен'!$B$8),-3)</f>
        <v/>
      </c>
      <c r="L75" s="61">
        <f>ROUND(D75*'Логика цен'!$B$6,-3)</f>
        <v/>
      </c>
      <c r="M75" s="45" t="inlineStr">
        <is>
          <t>До 10 мешков; больше — газель</t>
        </is>
      </c>
    </row>
    <row r="76" ht="15" customHeight="1" s="38">
      <c r="A76" s="53" t="inlineStr">
        <is>
          <t>СВАРОЧНЫЕ РАБОТЫ</t>
        </is>
      </c>
      <c r="B76" s="54" t="n"/>
      <c r="C76" s="54" t="n"/>
      <c r="D76" s="54" t="n"/>
      <c r="E76" s="54" t="n"/>
      <c r="F76" s="54" t="n"/>
      <c r="G76" s="54" t="n"/>
      <c r="H76" s="55" t="n"/>
    </row>
    <row r="77" ht="15" customHeight="1" s="38">
      <c r="A77" s="56" t="n">
        <v>68</v>
      </c>
      <c r="B77" s="57" t="inlineStr">
        <is>
          <t>Сварка стальных труб (отопление/вода)</t>
        </is>
      </c>
      <c r="C77" s="57" t="inlineStr">
        <is>
          <t>стык</t>
        </is>
      </c>
      <c r="D77" s="58" t="n">
        <v>280000</v>
      </c>
      <c r="E77" s="58" t="n">
        <v>350000</v>
      </c>
      <c r="F77" s="59">
        <f>ROUND(D77*(1+'Логика цен'!$B$3),-3)</f>
        <v/>
      </c>
      <c r="G77" s="59">
        <f>ROUND(E77*(1+'Логика цен'!$B$3),-3)</f>
        <v/>
      </c>
      <c r="H77" s="60">
        <f>ROUND(F77/(1+'Логика цен'!$B$9),-3)</f>
        <v/>
      </c>
      <c r="I77" s="61">
        <f>ROUND(G77/(1+'Логика цен'!$B$9),-3)</f>
        <v/>
      </c>
      <c r="J77" s="61">
        <f>ROUND(D77*(1+'Логика цен'!$B$3)*(1-'Логика цен'!$B$8),-3)</f>
        <v/>
      </c>
      <c r="K77" s="61">
        <f>ROUND(E77*(1+'Логика цен'!$B$3)*(1-'Логика цен'!$B$8),-3)</f>
        <v/>
      </c>
      <c r="L77" s="61">
        <f>ROUND(D77*'Логика цен'!$B$6,-3)</f>
        <v/>
      </c>
      <c r="M77" s="45" t="n"/>
    </row>
    <row r="78" ht="15" customHeight="1" s="38">
      <c r="A78" s="56" t="n">
        <v>69</v>
      </c>
      <c r="B78" s="57" t="inlineStr">
        <is>
          <t>Врезка в стальной стояк со сваркой</t>
        </is>
      </c>
      <c r="C78" s="57" t="inlineStr">
        <is>
          <t>точка</t>
        </is>
      </c>
      <c r="D78" s="58" t="n">
        <v>300000</v>
      </c>
      <c r="E78" s="58" t="n">
        <v>500000</v>
      </c>
      <c r="F78" s="59">
        <f>ROUND(D78*(1+'Логика цен'!$B$3),-3)</f>
        <v/>
      </c>
      <c r="G78" s="59">
        <f>ROUND(E78*(1+'Логика цен'!$B$3),-3)</f>
        <v/>
      </c>
      <c r="H78" s="60">
        <f>ROUND(F78/(1+'Логика цен'!$B$9),-3)</f>
        <v/>
      </c>
      <c r="I78" s="61">
        <f>ROUND(G78/(1+'Логика цен'!$B$9),-3)</f>
        <v/>
      </c>
      <c r="J78" s="61">
        <f>ROUND(D78*(1+'Логика цен'!$B$3)*(1-'Логика цен'!$B$8),-3)</f>
        <v/>
      </c>
      <c r="K78" s="61">
        <f>ROUND(E78*(1+'Логика цен'!$B$3)*(1-'Логика цен'!$B$8),-3)</f>
        <v/>
      </c>
      <c r="L78" s="61">
        <f>ROUND(D78*'Логика цен'!$B$6,-3)</f>
        <v/>
      </c>
      <c r="M78" s="45" t="inlineStr">
        <is>
          <t>С согласованием отключения</t>
        </is>
      </c>
    </row>
    <row r="79" ht="15" customHeight="1" s="38">
      <c r="A79" s="56" t="n">
        <v>70</v>
      </c>
      <c r="B79" s="57" t="inlineStr">
        <is>
          <t>Сварочные работы общие (металлоконструкции)</t>
        </is>
      </c>
      <c r="C79" s="57" t="inlineStr">
        <is>
          <t>час</t>
        </is>
      </c>
      <c r="D79" s="58" t="n">
        <v>250000</v>
      </c>
      <c r="E79" s="58" t="n">
        <v>350000</v>
      </c>
      <c r="F79" s="59">
        <f>ROUND(D79*(1+'Логика цен'!$B$3),-3)</f>
        <v/>
      </c>
      <c r="G79" s="59">
        <f>ROUND(E79*(1+'Логика цен'!$B$3),-3)</f>
        <v/>
      </c>
      <c r="H79" s="60">
        <f>ROUND(F79/(1+'Логика цен'!$B$9),-3)</f>
        <v/>
      </c>
      <c r="I79" s="61">
        <f>ROUND(G79/(1+'Логика цен'!$B$9),-3)</f>
        <v/>
      </c>
      <c r="J79" s="61">
        <f>ROUND(D79*(1+'Логика цен'!$B$3)*(1-'Логика цен'!$B$8),-3)</f>
        <v/>
      </c>
      <c r="K79" s="61">
        <f>ROUND(E79*(1+'Логика цен'!$B$3)*(1-'Логика цен'!$B$8),-3)</f>
        <v/>
      </c>
      <c r="L79" s="61">
        <f>ROUND(D79*'Логика цен'!$B$6,-3)</f>
        <v/>
      </c>
      <c r="M79" s="45" t="n"/>
    </row>
    <row r="80" ht="15" customHeight="1" s="38">
      <c r="A80" s="56" t="n">
        <v>71</v>
      </c>
      <c r="B80" s="57" t="inlineStr">
        <is>
          <t>Ремонт ворот/калитки (петли, замок, полотно)</t>
        </is>
      </c>
      <c r="C80" s="57" t="inlineStr">
        <is>
          <t>заявка</t>
        </is>
      </c>
      <c r="D80" s="58" t="n">
        <v>200000</v>
      </c>
      <c r="E80" s="58" t="n">
        <v>500000</v>
      </c>
      <c r="F80" s="59">
        <f>ROUND(D80*(1+'Логика цен'!$B$3),-3)</f>
        <v/>
      </c>
      <c r="G80" s="59">
        <f>ROUND(E80*(1+'Логика цен'!$B$3),-3)</f>
        <v/>
      </c>
      <c r="H80" s="60">
        <f>ROUND(F80/(1+'Логика цен'!$B$9),-3)</f>
        <v/>
      </c>
      <c r="I80" s="61">
        <f>ROUND(G80/(1+'Логика цен'!$B$9),-3)</f>
        <v/>
      </c>
      <c r="J80" s="61">
        <f>ROUND(D80*(1+'Логика цен'!$B$3)*(1-'Логика цен'!$B$8),-3)</f>
        <v/>
      </c>
      <c r="K80" s="61">
        <f>ROUND(E80*(1+'Логика цен'!$B$3)*(1-'Логика цен'!$B$8),-3)</f>
        <v/>
      </c>
      <c r="L80" s="61">
        <f>ROUND(D80*'Логика цен'!$B$6,-3)</f>
        <v/>
      </c>
      <c r="M80" s="45" t="n"/>
    </row>
    <row r="81" ht="15" customHeight="1" s="38">
      <c r="A81" s="56" t="n">
        <v>72</v>
      </c>
      <c r="B81" s="57" t="inlineStr">
        <is>
          <t>Изготовление и монтаж решётки на окно</t>
        </is>
      </c>
      <c r="C81" s="57" t="inlineStr">
        <is>
          <t>м²</t>
        </is>
      </c>
      <c r="D81" s="58" t="n">
        <v>300000</v>
      </c>
      <c r="E81" s="58" t="n">
        <v>600000</v>
      </c>
      <c r="F81" s="59">
        <f>ROUND(D81*(1+'Логика цен'!$B$3),-3)</f>
        <v/>
      </c>
      <c r="G81" s="59">
        <f>ROUND(E81*(1+'Логика цен'!$B$3),-3)</f>
        <v/>
      </c>
      <c r="H81" s="60">
        <f>ROUND(F81/(1+'Логика цен'!$B$9),-3)</f>
        <v/>
      </c>
      <c r="I81" s="61">
        <f>ROUND(G81/(1+'Логика цен'!$B$9),-3)</f>
        <v/>
      </c>
      <c r="J81" s="61">
        <f>ROUND(D81*(1+'Логика цен'!$B$3)*(1-'Логика цен'!$B$8),-3)</f>
        <v/>
      </c>
      <c r="K81" s="61">
        <f>ROUND(E81*(1+'Логика цен'!$B$3)*(1-'Логика цен'!$B$8),-3)</f>
        <v/>
      </c>
      <c r="L81" s="61">
        <f>ROUND(D81*'Логика цен'!$B$6,-3)</f>
        <v/>
      </c>
      <c r="M81" s="45" t="inlineStr">
        <is>
          <t>Без стоимости металла</t>
        </is>
      </c>
    </row>
    <row r="82" ht="15" customHeight="1" s="38">
      <c r="A82" s="56" t="n">
        <v>73</v>
      </c>
      <c r="B82" s="57" t="inlineStr">
        <is>
          <t>Монтаж навеса/козырька (простой)</t>
        </is>
      </c>
      <c r="C82" s="57" t="inlineStr">
        <is>
          <t>м²</t>
        </is>
      </c>
      <c r="D82" s="58" t="n">
        <v>200000</v>
      </c>
      <c r="E82" s="58" t="n">
        <v>400000</v>
      </c>
      <c r="F82" s="59">
        <f>ROUND(D82*(1+'Логика цен'!$B$3),-3)</f>
        <v/>
      </c>
      <c r="G82" s="59">
        <f>ROUND(E82*(1+'Логика цен'!$B$3),-3)</f>
        <v/>
      </c>
      <c r="H82" s="60">
        <f>ROUND(F82/(1+'Логика цен'!$B$9),-3)</f>
        <v/>
      </c>
      <c r="I82" s="61">
        <f>ROUND(G82/(1+'Логика цен'!$B$9),-3)</f>
        <v/>
      </c>
      <c r="J82" s="61">
        <f>ROUND(D82*(1+'Логика цен'!$B$3)*(1-'Логика цен'!$B$8),-3)</f>
        <v/>
      </c>
      <c r="K82" s="61">
        <f>ROUND(E82*(1+'Логика цен'!$B$3)*(1-'Логика цен'!$B$8),-3)</f>
        <v/>
      </c>
      <c r="L82" s="61">
        <f>ROUND(D82*'Логика цен'!$B$6,-3)</f>
        <v/>
      </c>
      <c r="M82" s="45" t="inlineStr">
        <is>
          <t>Без стоимости материала</t>
        </is>
      </c>
    </row>
    <row r="83" ht="15" customHeight="1" s="38">
      <c r="A83" s="56" t="n">
        <v>74</v>
      </c>
      <c r="B83" s="57" t="inlineStr">
        <is>
          <t>Сварка/усиление каркасов, стеллажей</t>
        </is>
      </c>
      <c r="C83" s="57" t="inlineStr">
        <is>
          <t>час</t>
        </is>
      </c>
      <c r="D83" s="58" t="n">
        <v>150000</v>
      </c>
      <c r="E83" s="58" t="n">
        <v>250000</v>
      </c>
      <c r="F83" s="59">
        <f>ROUND(D83*(1+'Логика цен'!$B$3),-3)</f>
        <v/>
      </c>
      <c r="G83" s="59">
        <f>ROUND(E83*(1+'Логика цен'!$B$3),-3)</f>
        <v/>
      </c>
      <c r="H83" s="60">
        <f>ROUND(F83/(1+'Логика цен'!$B$9),-3)</f>
        <v/>
      </c>
      <c r="I83" s="61">
        <f>ROUND(G83/(1+'Логика цен'!$B$9),-3)</f>
        <v/>
      </c>
      <c r="J83" s="61">
        <f>ROUND(D83*(1+'Логика цен'!$B$3)*(1-'Логика цен'!$B$8),-3)</f>
        <v/>
      </c>
      <c r="K83" s="61">
        <f>ROUND(E83*(1+'Логика цен'!$B$3)*(1-'Логика цен'!$B$8),-3)</f>
        <v/>
      </c>
      <c r="L83" s="61">
        <f>ROUND(D83*'Логика цен'!$B$6,-3)</f>
        <v/>
      </c>
      <c r="M83" s="45" t="n"/>
    </row>
    <row r="84" ht="15" customHeight="1" s="38">
      <c r="A84" s="53" t="inlineStr">
        <is>
          <t>КОНДИЦИОНЕРЫ И ВЕНТИЛЯЦИЯ</t>
        </is>
      </c>
      <c r="B84" s="54" t="n"/>
      <c r="C84" s="54" t="n"/>
      <c r="D84" s="54" t="n"/>
      <c r="E84" s="54" t="n"/>
      <c r="F84" s="54" t="n"/>
      <c r="G84" s="54" t="n"/>
      <c r="H84" s="55" t="n"/>
    </row>
    <row r="85" ht="15" customHeight="1" s="38">
      <c r="A85" s="56" t="n">
        <v>75</v>
      </c>
      <c r="B85" s="57" t="inlineStr">
        <is>
          <t>Чистка кондиционера (профилактика, сплит)</t>
        </is>
      </c>
      <c r="C85" s="57" t="inlineStr">
        <is>
          <t>шт</t>
        </is>
      </c>
      <c r="D85" s="58" t="n">
        <v>250000</v>
      </c>
      <c r="E85" s="58" t="n">
        <v>450000</v>
      </c>
      <c r="F85" s="59">
        <f>ROUND(D85*(1+'Логика цен'!$B$3),-3)</f>
        <v/>
      </c>
      <c r="G85" s="59">
        <f>ROUND(E85*(1+'Логика цен'!$B$3),-3)</f>
        <v/>
      </c>
      <c r="H85" s="60">
        <f>ROUND(F85/(1+'Логика цен'!$B$9),-3)</f>
        <v/>
      </c>
      <c r="I85" s="61">
        <f>ROUND(G85/(1+'Логика цен'!$B$9),-3)</f>
        <v/>
      </c>
      <c r="J85" s="61">
        <f>ROUND(D85*(1+'Логика цен'!$B$3)*(1-'Логика цен'!$B$8),-3)</f>
        <v/>
      </c>
      <c r="K85" s="61">
        <f>ROUND(E85*(1+'Логика цен'!$B$3)*(1-'Логика цен'!$B$8),-3)</f>
        <v/>
      </c>
      <c r="L85" s="61">
        <f>ROUND(D85*'Логика цен'!$B$6,-3)</f>
        <v/>
      </c>
      <c r="M85" s="45" t="inlineStr">
        <is>
          <t>Сезонный хит май–сентябрь</t>
        </is>
      </c>
    </row>
    <row r="86" ht="15" customHeight="1" s="38">
      <c r="A86" s="56" t="n">
        <v>76</v>
      </c>
      <c r="B86" s="57" t="inlineStr">
        <is>
          <t>Заправка фреоном</t>
        </is>
      </c>
      <c r="C86" s="57" t="inlineStr">
        <is>
          <t>шт</t>
        </is>
      </c>
      <c r="D86" s="58" t="n">
        <v>200000</v>
      </c>
      <c r="E86" s="58" t="n">
        <v>400000</v>
      </c>
      <c r="F86" s="59">
        <f>ROUND(D86*(1+'Логика цен'!$B$3),-3)</f>
        <v/>
      </c>
      <c r="G86" s="59">
        <f>ROUND(E86*(1+'Логика цен'!$B$3),-3)</f>
        <v/>
      </c>
      <c r="H86" s="60">
        <f>ROUND(F86/(1+'Логика цен'!$B$9),-3)</f>
        <v/>
      </c>
      <c r="I86" s="61">
        <f>ROUND(G86/(1+'Логика цен'!$B$9),-3)</f>
        <v/>
      </c>
      <c r="J86" s="61">
        <f>ROUND(D86*(1+'Логика цен'!$B$3)*(1-'Логика цен'!$B$8),-3)</f>
        <v/>
      </c>
      <c r="K86" s="61">
        <f>ROUND(E86*(1+'Логика цен'!$B$3)*(1-'Логика цен'!$B$8),-3)</f>
        <v/>
      </c>
      <c r="L86" s="61">
        <f>ROUND(D86*'Логика цен'!$B$6,-3)</f>
        <v/>
      </c>
      <c r="M86" s="45" t="inlineStr">
        <is>
          <t>Зависит от типа фреона</t>
        </is>
      </c>
    </row>
    <row r="87" ht="15" customHeight="1" s="38">
      <c r="A87" s="56" t="n">
        <v>77</v>
      </c>
      <c r="B87" s="57" t="inlineStr">
        <is>
          <t>Установка сплит-системы (стандарт, до 3 м трассы)</t>
        </is>
      </c>
      <c r="C87" s="57" t="inlineStr">
        <is>
          <t>шт</t>
        </is>
      </c>
      <c r="D87" s="58" t="n">
        <v>500000</v>
      </c>
      <c r="E87" s="58" t="n">
        <v>900000</v>
      </c>
      <c r="F87" s="59">
        <f>ROUND(D87*(1+'Логика цен'!$B$3),-3)</f>
        <v/>
      </c>
      <c r="G87" s="59">
        <f>ROUND(E87*(1+'Логика цен'!$B$3),-3)</f>
        <v/>
      </c>
      <c r="H87" s="60">
        <f>ROUND(F87/(1+'Логика цен'!$B$9),-3)</f>
        <v/>
      </c>
      <c r="I87" s="61">
        <f>ROUND(G87/(1+'Логика цен'!$B$9),-3)</f>
        <v/>
      </c>
      <c r="J87" s="61">
        <f>ROUND(D87*(1+'Логика цен'!$B$3)*(1-'Логика цен'!$B$8),-3)</f>
        <v/>
      </c>
      <c r="K87" s="61">
        <f>ROUND(E87*(1+'Логика цен'!$B$3)*(1-'Логика цен'!$B$8),-3)</f>
        <v/>
      </c>
      <c r="L87" s="61">
        <f>ROUND(D87*'Логика цен'!$B$6,-3)</f>
        <v/>
      </c>
      <c r="M87" s="45" t="inlineStr">
        <is>
          <t>Доп. трасса — за п.м</t>
        </is>
      </c>
    </row>
    <row r="88" ht="15" customHeight="1" s="38">
      <c r="A88" s="56" t="n">
        <v>78</v>
      </c>
      <c r="B88" s="57" t="inlineStr">
        <is>
          <t>Дополнительная трасса кондиционера</t>
        </is>
      </c>
      <c r="C88" s="57" t="inlineStr">
        <is>
          <t>п.м</t>
        </is>
      </c>
      <c r="D88" s="58" t="n">
        <v>80000</v>
      </c>
      <c r="E88" s="58" t="n">
        <v>150000</v>
      </c>
      <c r="F88" s="59">
        <f>ROUND(D88*(1+'Логика цен'!$B$3),-3)</f>
        <v/>
      </c>
      <c r="G88" s="59">
        <f>ROUND(E88*(1+'Логика цен'!$B$3),-3)</f>
        <v/>
      </c>
      <c r="H88" s="60">
        <f>ROUND(F88/(1+'Логика цен'!$B$9),-3)</f>
        <v/>
      </c>
      <c r="I88" s="61">
        <f>ROUND(G88/(1+'Логика цен'!$B$9),-3)</f>
        <v/>
      </c>
      <c r="J88" s="61">
        <f>ROUND(D88*(1+'Логика цен'!$B$3)*(1-'Логика цен'!$B$8),-3)</f>
        <v/>
      </c>
      <c r="K88" s="61">
        <f>ROUND(E88*(1+'Логика цен'!$B$3)*(1-'Логика цен'!$B$8),-3)</f>
        <v/>
      </c>
      <c r="L88" s="61">
        <f>ROUND(D88*'Логика цен'!$B$6,-3)</f>
        <v/>
      </c>
      <c r="M88" s="45" t="n"/>
    </row>
    <row r="89" ht="15" customHeight="1" s="38">
      <c r="A89" s="56" t="n">
        <v>79</v>
      </c>
      <c r="B89" s="57" t="inlineStr">
        <is>
          <t>Демонтаж кондиционера</t>
        </is>
      </c>
      <c r="C89" s="57" t="inlineStr">
        <is>
          <t>шт</t>
        </is>
      </c>
      <c r="D89" s="58" t="n">
        <v>250000</v>
      </c>
      <c r="E89" s="58" t="n">
        <v>400000</v>
      </c>
      <c r="F89" s="59">
        <f>ROUND(D89*(1+'Логика цен'!$B$3),-3)</f>
        <v/>
      </c>
      <c r="G89" s="59">
        <f>ROUND(E89*(1+'Логика цен'!$B$3),-3)</f>
        <v/>
      </c>
      <c r="H89" s="60">
        <f>ROUND(F89/(1+'Логика цен'!$B$9),-3)</f>
        <v/>
      </c>
      <c r="I89" s="61">
        <f>ROUND(G89/(1+'Логика цен'!$B$9),-3)</f>
        <v/>
      </c>
      <c r="J89" s="61">
        <f>ROUND(D89*(1+'Логика цен'!$B$3)*(1-'Логика цен'!$B$8),-3)</f>
        <v/>
      </c>
      <c r="K89" s="61">
        <f>ROUND(E89*(1+'Логика цен'!$B$3)*(1-'Логика цен'!$B$8),-3)</f>
        <v/>
      </c>
      <c r="L89" s="61">
        <f>ROUND(D89*'Логика цен'!$B$6,-3)</f>
        <v/>
      </c>
      <c r="M89" s="45" t="inlineStr">
        <is>
          <t xml:space="preserve">внутренний "фен" \ наружный агрегат </t>
        </is>
      </c>
    </row>
    <row r="90" ht="15" customHeight="1" s="38">
      <c r="A90" s="56" t="n">
        <v>80</v>
      </c>
      <c r="B90" s="57" t="inlineStr">
        <is>
          <t>Перенос кондиционера</t>
        </is>
      </c>
      <c r="C90" s="57" t="inlineStr">
        <is>
          <t>шт</t>
        </is>
      </c>
      <c r="D90" s="58" t="n">
        <v>500000</v>
      </c>
      <c r="E90" s="58" t="n">
        <v>1300000</v>
      </c>
      <c r="F90" s="59">
        <f>ROUND(D90*(1+'Логика цен'!$B$3),-3)</f>
        <v/>
      </c>
      <c r="G90" s="59">
        <f>ROUND(E90*(1+'Логика цен'!$B$3),-3)</f>
        <v/>
      </c>
      <c r="H90" s="60">
        <f>ROUND(F90/(1+'Логика цен'!$B$9),-3)</f>
        <v/>
      </c>
      <c r="I90" s="61">
        <f>ROUND(G90/(1+'Логика цен'!$B$9),-3)</f>
        <v/>
      </c>
      <c r="J90" s="61">
        <f>ROUND(D90*(1+'Логика цен'!$B$3)*(1-'Логика цен'!$B$8),-3)</f>
        <v/>
      </c>
      <c r="K90" s="61">
        <f>ROUND(E90*(1+'Логика цен'!$B$3)*(1-'Логика цен'!$B$8),-3)</f>
        <v/>
      </c>
      <c r="L90" s="61">
        <f>ROUND(D90*'Логика цен'!$B$6,-3)</f>
        <v/>
      </c>
      <c r="M90" s="45" t="inlineStr">
        <is>
          <t xml:space="preserve">внутренний "фен" \ наружный агрегат </t>
        </is>
      </c>
    </row>
    <row r="91" ht="15" customHeight="1" s="38">
      <c r="A91" s="56" t="n">
        <v>81</v>
      </c>
      <c r="B91" s="57" t="inlineStr">
        <is>
          <t>Диагностика/ремонт кондиционера</t>
        </is>
      </c>
      <c r="C91" s="57" t="inlineStr">
        <is>
          <t>заявка</t>
        </is>
      </c>
      <c r="D91" s="58" t="n">
        <v>150000</v>
      </c>
      <c r="E91" s="58" t="n">
        <v>400000</v>
      </c>
      <c r="F91" s="59">
        <f>ROUND(D91*(1+'Логика цен'!$B$3),-3)</f>
        <v/>
      </c>
      <c r="G91" s="59">
        <f>ROUND(E91*(1+'Логика цен'!$B$3),-3)</f>
        <v/>
      </c>
      <c r="H91" s="60">
        <f>ROUND(F91/(1+'Логика цен'!$B$9),-3)</f>
        <v/>
      </c>
      <c r="I91" s="61">
        <f>ROUND(G91/(1+'Логика цен'!$B$9),-3)</f>
        <v/>
      </c>
      <c r="J91" s="61">
        <f>ROUND(D91*(1+'Логика цен'!$B$3)*(1-'Логика цен'!$B$8),-3)</f>
        <v/>
      </c>
      <c r="K91" s="61">
        <f>ROUND(E91*(1+'Логика цен'!$B$3)*(1-'Логика цен'!$B$8),-3)</f>
        <v/>
      </c>
      <c r="L91" s="61">
        <f>ROUND(D91*'Логика цен'!$B$6,-3)</f>
        <v/>
      </c>
      <c r="M91" s="45" t="inlineStr">
        <is>
          <t>Без запчастей</t>
        </is>
      </c>
    </row>
    <row r="92" ht="15" customHeight="1" s="38">
      <c r="A92" s="56" t="n">
        <v>82</v>
      </c>
      <c r="B92" s="57" t="inlineStr">
        <is>
          <t>Чистка кухонной вытяжки (бытовой)</t>
        </is>
      </c>
      <c r="C92" s="57" t="inlineStr">
        <is>
          <t>шт</t>
        </is>
      </c>
      <c r="D92" s="58" t="n">
        <v>100000</v>
      </c>
      <c r="E92" s="58" t="n">
        <v>300000</v>
      </c>
      <c r="F92" s="59">
        <f>ROUND(D92*(1+'Логика цен'!$B$3),-3)</f>
        <v/>
      </c>
      <c r="G92" s="59">
        <f>ROUND(E92*(1+'Логика цен'!$B$3),-3)</f>
        <v/>
      </c>
      <c r="H92" s="60">
        <f>ROUND(F92/(1+'Логика цен'!$B$9),-3)</f>
        <v/>
      </c>
      <c r="I92" s="61">
        <f>ROUND(G92/(1+'Логика цен'!$B$9),-3)</f>
        <v/>
      </c>
      <c r="J92" s="61">
        <f>ROUND(D92*(1+'Логика цен'!$B$3)*(1-'Логика цен'!$B$8),-3)</f>
        <v/>
      </c>
      <c r="K92" s="61">
        <f>ROUND(E92*(1+'Логика цен'!$B$3)*(1-'Логика цен'!$B$8),-3)</f>
        <v/>
      </c>
      <c r="L92" s="61">
        <f>ROUND(D92*'Логика цен'!$B$6,-3)</f>
        <v/>
      </c>
      <c r="M92" s="45" t="inlineStr">
        <is>
          <t xml:space="preserve">возможен хим.клининг </t>
        </is>
      </c>
    </row>
    <row r="93" ht="15" customHeight="1" s="38">
      <c r="A93" s="56" t="n">
        <v>83</v>
      </c>
      <c r="B93" s="57" t="inlineStr">
        <is>
          <t>Установка вытяжного вентилятора (санузел)</t>
        </is>
      </c>
      <c r="C93" s="57" t="inlineStr">
        <is>
          <t>шт</t>
        </is>
      </c>
      <c r="D93" s="58" t="n">
        <v>100000</v>
      </c>
      <c r="E93" s="58" t="n">
        <v>180000</v>
      </c>
      <c r="F93" s="59">
        <f>ROUND(D93*(1+'Логика цен'!$B$3),-3)</f>
        <v/>
      </c>
      <c r="G93" s="59">
        <f>ROUND(E93*(1+'Логика цен'!$B$3),-3)</f>
        <v/>
      </c>
      <c r="H93" s="60">
        <f>ROUND(F93/(1+'Логика цен'!$B$9),-3)</f>
        <v/>
      </c>
      <c r="I93" s="61">
        <f>ROUND(G93/(1+'Логика цен'!$B$9),-3)</f>
        <v/>
      </c>
      <c r="J93" s="61">
        <f>ROUND(D93*(1+'Логика цен'!$B$3)*(1-'Логика цен'!$B$8),-3)</f>
        <v/>
      </c>
      <c r="K93" s="61">
        <f>ROUND(E93*(1+'Логика цен'!$B$3)*(1-'Логика цен'!$B$8),-3)</f>
        <v/>
      </c>
      <c r="L93" s="61">
        <f>ROUND(D93*'Логика цен'!$B$6,-3)</f>
        <v/>
      </c>
      <c r="M93" s="45" t="inlineStr">
        <is>
          <t>без выреза и расширения отверстий</t>
        </is>
      </c>
    </row>
    <row r="94" ht="15" customHeight="1" s="38">
      <c r="A94" s="56" t="n">
        <v>84</v>
      </c>
      <c r="B94" s="57" t="inlineStr">
        <is>
          <t>Обслуживание вентиляции (B2B: HoReCa)</t>
        </is>
      </c>
      <c r="C94" s="57" t="inlineStr">
        <is>
          <t>объект</t>
        </is>
      </c>
      <c r="D94" s="58" t="n">
        <v>500000</v>
      </c>
      <c r="E94" s="58" t="n">
        <v>1500000</v>
      </c>
      <c r="F94" s="59">
        <f>ROUND(D94*(1+'Логика цен'!$B$3),-3)</f>
        <v/>
      </c>
      <c r="G94" s="59">
        <f>ROUND(E94*(1+'Логика цен'!$B$3),-3)</f>
        <v/>
      </c>
      <c r="H94" s="60">
        <f>ROUND(F94/(1+'Логика цен'!$B$9),-3)</f>
        <v/>
      </c>
      <c r="I94" s="61">
        <f>ROUND(G94/(1+'Логика цен'!$B$9),-3)</f>
        <v/>
      </c>
      <c r="J94" s="61">
        <f>ROUND(D94*(1+'Логика цен'!$B$3)*(1-'Логика цен'!$B$8),-3)</f>
        <v/>
      </c>
      <c r="K94" s="61">
        <f>ROUND(E94*(1+'Логика цен'!$B$3)*(1-'Логика цен'!$B$8),-3)</f>
        <v/>
      </c>
      <c r="L94" s="61">
        <f>ROUND(D94*'Логика цен'!$B$6,-3)</f>
        <v/>
      </c>
      <c r="M94" s="45" t="inlineStr">
        <is>
          <t>Критично для проверок</t>
        </is>
      </c>
    </row>
    <row r="95" ht="15" customHeight="1" s="38">
      <c r="A95" s="53" t="inlineStr">
        <is>
          <t>БЫТОВАЯ ТЕХНИКА (мелкий ремонт)</t>
        </is>
      </c>
      <c r="B95" s="54" t="n"/>
      <c r="C95" s="54" t="n"/>
      <c r="D95" s="54" t="n"/>
      <c r="E95" s="54" t="n"/>
      <c r="F95" s="54" t="n"/>
      <c r="G95" s="54" t="n"/>
      <c r="H95" s="55" t="n"/>
    </row>
    <row r="96" ht="15" customHeight="1" s="38">
      <c r="A96" s="56" t="n">
        <v>85</v>
      </c>
      <c r="B96" s="57" t="inlineStr">
        <is>
          <t>Диагностика бытовой техники</t>
        </is>
      </c>
      <c r="C96" s="57" t="inlineStr">
        <is>
          <t>шт</t>
        </is>
      </c>
      <c r="D96" s="58" t="n">
        <v>80000</v>
      </c>
      <c r="E96" s="58" t="n">
        <v>120000</v>
      </c>
      <c r="F96" s="59">
        <f>ROUND(D96*(1+'Логика цен'!$B$3),-3)</f>
        <v/>
      </c>
      <c r="G96" s="59">
        <f>ROUND(E96*(1+'Логика цен'!$B$3),-3)</f>
        <v/>
      </c>
      <c r="H96" s="60">
        <f>ROUND(F96/(1+'Логика цен'!$B$9),-3)</f>
        <v/>
      </c>
      <c r="I96" s="61">
        <f>ROUND(G96/(1+'Логика цен'!$B$9),-3)</f>
        <v/>
      </c>
      <c r="J96" s="61">
        <f>ROUND(D96*(1+'Логика цен'!$B$3)*(1-'Логика цен'!$B$8),-3)</f>
        <v/>
      </c>
      <c r="K96" s="61">
        <f>ROUND(E96*(1+'Логика цен'!$B$3)*(1-'Логика цен'!$B$8),-3)</f>
        <v/>
      </c>
      <c r="L96" s="61">
        <f>ROUND(D96*'Логика цен'!$B$6,-3)</f>
        <v/>
      </c>
      <c r="M96" s="45" t="inlineStr">
        <is>
          <t>Бесплатно при ремонте</t>
        </is>
      </c>
    </row>
    <row r="97" ht="15" customHeight="1" s="38">
      <c r="A97" s="56" t="n">
        <v>86</v>
      </c>
      <c r="B97" s="57" t="inlineStr">
        <is>
          <t>Замена ТЭНа (стиральная машина/бойлер)</t>
        </is>
      </c>
      <c r="C97" s="57" t="inlineStr">
        <is>
          <t>шт</t>
        </is>
      </c>
      <c r="D97" s="58" t="n">
        <v>150000</v>
      </c>
      <c r="E97" s="58" t="n">
        <v>250000</v>
      </c>
      <c r="F97" s="59">
        <f>ROUND(D97*(1+'Логика цен'!$B$3),-3)</f>
        <v/>
      </c>
      <c r="G97" s="59">
        <f>ROUND(E97*(1+'Логика цен'!$B$3),-3)</f>
        <v/>
      </c>
      <c r="H97" s="60">
        <f>ROUND(F97/(1+'Логика цен'!$B$9),-3)</f>
        <v/>
      </c>
      <c r="I97" s="61">
        <f>ROUND(G97/(1+'Логика цен'!$B$9),-3)</f>
        <v/>
      </c>
      <c r="J97" s="61">
        <f>ROUND(D97*(1+'Логика цен'!$B$3)*(1-'Логика цен'!$B$8),-3)</f>
        <v/>
      </c>
      <c r="K97" s="61">
        <f>ROUND(E97*(1+'Логика цен'!$B$3)*(1-'Логика цен'!$B$8),-3)</f>
        <v/>
      </c>
      <c r="L97" s="61">
        <f>ROUND(D97*'Логика цен'!$B$6,-3)</f>
        <v/>
      </c>
      <c r="M97" s="45" t="n"/>
    </row>
    <row r="98" ht="15" customHeight="1" s="38">
      <c r="A98" s="56" t="n">
        <v>87</v>
      </c>
      <c r="B98" s="57" t="inlineStr">
        <is>
          <t>Замена помпы/шланга стиральной машины</t>
        </is>
      </c>
      <c r="C98" s="57" t="inlineStr">
        <is>
          <t>шт</t>
        </is>
      </c>
      <c r="D98" s="58" t="n">
        <v>150000</v>
      </c>
      <c r="E98" s="58" t="n">
        <v>250000</v>
      </c>
      <c r="F98" s="59">
        <f>ROUND(D98*(1+'Логика цен'!$B$3),-3)</f>
        <v/>
      </c>
      <c r="G98" s="59">
        <f>ROUND(E98*(1+'Логика цен'!$B$3),-3)</f>
        <v/>
      </c>
      <c r="H98" s="60">
        <f>ROUND(F98/(1+'Логика цен'!$B$9),-3)</f>
        <v/>
      </c>
      <c r="I98" s="61">
        <f>ROUND(G98/(1+'Логика цен'!$B$9),-3)</f>
        <v/>
      </c>
      <c r="J98" s="61">
        <f>ROUND(D98*(1+'Логика цен'!$B$3)*(1-'Логика цен'!$B$8),-3)</f>
        <v/>
      </c>
      <c r="K98" s="61">
        <f>ROUND(E98*(1+'Логика цен'!$B$3)*(1-'Логика цен'!$B$8),-3)</f>
        <v/>
      </c>
      <c r="L98" s="61">
        <f>ROUND(D98*'Логика цен'!$B$6,-3)</f>
        <v/>
      </c>
      <c r="M98" s="45" t="n"/>
    </row>
    <row r="99" ht="15" customHeight="1" s="38">
      <c r="A99" s="56" t="n">
        <v>88</v>
      </c>
      <c r="B99" s="57" t="inlineStr">
        <is>
          <t>Чистка бойлера от накипи</t>
        </is>
      </c>
      <c r="C99" s="57" t="inlineStr">
        <is>
          <t>шт</t>
        </is>
      </c>
      <c r="D99" s="58" t="n">
        <v>200000</v>
      </c>
      <c r="E99" s="58" t="n">
        <v>350000</v>
      </c>
      <c r="F99" s="59">
        <f>ROUND(D99*(1+'Логика цен'!$B$3),-3)</f>
        <v/>
      </c>
      <c r="G99" s="59">
        <f>ROUND(E99*(1+'Логика цен'!$B$3),-3)</f>
        <v/>
      </c>
      <c r="H99" s="60">
        <f>ROUND(F99/(1+'Логика цен'!$B$9),-3)</f>
        <v/>
      </c>
      <c r="I99" s="61">
        <f>ROUND(G99/(1+'Логика цен'!$B$9),-3)</f>
        <v/>
      </c>
      <c r="J99" s="61">
        <f>ROUND(D99*(1+'Логика цен'!$B$3)*(1-'Логика цен'!$B$8),-3)</f>
        <v/>
      </c>
      <c r="K99" s="61">
        <f>ROUND(E99*(1+'Логика цен'!$B$3)*(1-'Логика цен'!$B$8),-3)</f>
        <v/>
      </c>
      <c r="L99" s="61">
        <f>ROUND(D99*'Логика цен'!$B$6,-3)</f>
        <v/>
      </c>
      <c r="M99" s="45" t="n"/>
    </row>
    <row r="100" ht="15" customHeight="1" s="38">
      <c r="A100" s="56" t="n">
        <v>89</v>
      </c>
      <c r="B100" s="57" t="inlineStr">
        <is>
          <t>Ремонт духовки/плиты (электрика: ТЭН, конфорка)</t>
        </is>
      </c>
      <c r="C100" s="57" t="inlineStr">
        <is>
          <t>заявка</t>
        </is>
      </c>
      <c r="D100" s="58" t="n">
        <v>150000</v>
      </c>
      <c r="E100" s="58" t="n">
        <v>300000</v>
      </c>
      <c r="F100" s="59">
        <f>ROUND(D100*(1+'Логика цен'!$B$3),-3)</f>
        <v/>
      </c>
      <c r="G100" s="59">
        <f>ROUND(E100*(1+'Логика цен'!$B$3),-3)</f>
        <v/>
      </c>
      <c r="H100" s="60">
        <f>ROUND(F100/(1+'Логика цен'!$B$9),-3)</f>
        <v/>
      </c>
      <c r="I100" s="61">
        <f>ROUND(G100/(1+'Логика цен'!$B$9),-3)</f>
        <v/>
      </c>
      <c r="J100" s="61">
        <f>ROUND(D100*(1+'Логика цен'!$B$3)*(1-'Логика цен'!$B$8),-3)</f>
        <v/>
      </c>
      <c r="K100" s="61">
        <f>ROUND(E100*(1+'Логика цен'!$B$3)*(1-'Логика цен'!$B$8),-3)</f>
        <v/>
      </c>
      <c r="L100" s="61">
        <f>ROUND(D100*'Логика цен'!$B$6,-3)</f>
        <v/>
      </c>
      <c r="M100" s="45" t="inlineStr">
        <is>
          <t>Газовые — не берём</t>
        </is>
      </c>
    </row>
    <row r="101" ht="15" customHeight="1" s="38">
      <c r="A101" s="56" t="n">
        <v>90</v>
      </c>
      <c r="B101" s="57" t="inlineStr">
        <is>
          <t>Установка/замена варочной панели (электро)</t>
        </is>
      </c>
      <c r="C101" s="57" t="inlineStr">
        <is>
          <t>шт</t>
        </is>
      </c>
      <c r="D101" s="58" t="n">
        <v>150000</v>
      </c>
      <c r="E101" s="58" t="n">
        <v>250000</v>
      </c>
      <c r="F101" s="59">
        <f>ROUND(D101*(1+'Логика цен'!$B$3),-3)</f>
        <v/>
      </c>
      <c r="G101" s="59">
        <f>ROUND(E101*(1+'Логика цен'!$B$3),-3)</f>
        <v/>
      </c>
      <c r="H101" s="60">
        <f>ROUND(F101/(1+'Логика цен'!$B$9),-3)</f>
        <v/>
      </c>
      <c r="I101" s="61">
        <f>ROUND(G101/(1+'Логика цен'!$B$9),-3)</f>
        <v/>
      </c>
      <c r="J101" s="61">
        <f>ROUND(D101*(1+'Логика цен'!$B$3)*(1-'Логика цен'!$B$8),-3)</f>
        <v/>
      </c>
      <c r="K101" s="61">
        <f>ROUND(E101*(1+'Логика цен'!$B$3)*(1-'Логика цен'!$B$8),-3)</f>
        <v/>
      </c>
      <c r="L101" s="61">
        <f>ROUND(D101*'Логика цен'!$B$6,-3)</f>
        <v/>
      </c>
      <c r="M101" s="45" t="n"/>
    </row>
    <row r="102" ht="15" customHeight="1" s="38">
      <c r="A102" s="56" t="n">
        <v>91</v>
      </c>
      <c r="B102" s="57" t="inlineStr">
        <is>
          <t>Подключение/выравнивание холодильника, техники</t>
        </is>
      </c>
      <c r="C102" s="57" t="inlineStr">
        <is>
          <t>шт</t>
        </is>
      </c>
      <c r="D102" s="58" t="n">
        <v>80000</v>
      </c>
      <c r="E102" s="58" t="n">
        <v>150000</v>
      </c>
      <c r="F102" s="59">
        <f>ROUND(D102*(1+'Логика цен'!$B$3),-3)</f>
        <v/>
      </c>
      <c r="G102" s="59">
        <f>ROUND(E102*(1+'Логика цен'!$B$3),-3)</f>
        <v/>
      </c>
      <c r="H102" s="60">
        <f>ROUND(F102/(1+'Логика цен'!$B$9),-3)</f>
        <v/>
      </c>
      <c r="I102" s="61">
        <f>ROUND(G102/(1+'Логика цен'!$B$9),-3)</f>
        <v/>
      </c>
      <c r="J102" s="61">
        <f>ROUND(D102*(1+'Логика цен'!$B$3)*(1-'Логика цен'!$B$8),-3)</f>
        <v/>
      </c>
      <c r="K102" s="61">
        <f>ROUND(E102*(1+'Логика цен'!$B$3)*(1-'Логика цен'!$B$8),-3)</f>
        <v/>
      </c>
      <c r="L102" s="61">
        <f>ROUND(D102*'Логика цен'!$B$6,-3)</f>
        <v/>
      </c>
      <c r="M102" s="45" t="n"/>
    </row>
    <row r="103" ht="15" customHeight="1" s="38">
      <c r="A103" s="53" t="inlineStr">
        <is>
          <t>МАЛЯРНЫЕ И ОТДЕЛОЧНЫЕ РАБОТЫ</t>
        </is>
      </c>
      <c r="B103" s="54" t="n"/>
      <c r="C103" s="54" t="n"/>
      <c r="D103" s="54" t="n"/>
      <c r="E103" s="54" t="n"/>
      <c r="F103" s="54" t="n"/>
      <c r="G103" s="54" t="n"/>
      <c r="H103" s="55" t="n"/>
    </row>
    <row r="104" ht="15" customHeight="1" s="38">
      <c r="A104" s="56" t="n">
        <v>92</v>
      </c>
      <c r="B104" s="57" t="inlineStr">
        <is>
          <t>Покраска стен (2 слоя, готовая поверхность)</t>
        </is>
      </c>
      <c r="C104" s="57" t="inlineStr">
        <is>
          <t>м²</t>
        </is>
      </c>
      <c r="D104" s="58" t="n">
        <v>25000</v>
      </c>
      <c r="E104" s="58" t="n">
        <v>40000</v>
      </c>
      <c r="F104" s="59">
        <f>ROUND(D104*(1+'Логика цен'!$B$3),-3)</f>
        <v/>
      </c>
      <c r="G104" s="59">
        <f>ROUND(E104*(1+'Логика цен'!$B$3),-3)</f>
        <v/>
      </c>
      <c r="H104" s="60">
        <f>ROUND(F104/(1+'Логика цен'!$B$9),-3)</f>
        <v/>
      </c>
      <c r="I104" s="61">
        <f>ROUND(G104/(1+'Логика цен'!$B$9),-3)</f>
        <v/>
      </c>
      <c r="J104" s="61">
        <f>ROUND(D104*(1+'Логика цен'!$B$3)*(1-'Логика цен'!$B$8),-3)</f>
        <v/>
      </c>
      <c r="K104" s="61">
        <f>ROUND(E104*(1+'Логика цен'!$B$3)*(1-'Логика цен'!$B$8),-3)</f>
        <v/>
      </c>
      <c r="L104" s="61">
        <f>ROUND(D104*'Логика цен'!$B$6,-3)</f>
        <v/>
      </c>
      <c r="M104" s="45" t="inlineStr">
        <is>
          <t>механический \ пневматический способ</t>
        </is>
      </c>
    </row>
    <row r="105" ht="15" customHeight="1" s="38">
      <c r="A105" s="56" t="n">
        <v>93</v>
      </c>
      <c r="B105" s="57" t="inlineStr">
        <is>
          <t>Шпаклёвка стен под покраску</t>
        </is>
      </c>
      <c r="C105" s="57" t="inlineStr">
        <is>
          <t>м²</t>
        </is>
      </c>
      <c r="D105" s="58" t="n">
        <v>35000</v>
      </c>
      <c r="E105" s="58" t="n">
        <v>45000</v>
      </c>
      <c r="F105" s="59">
        <f>ROUND(D105*(1+'Логика цен'!$B$3),-3)</f>
        <v/>
      </c>
      <c r="G105" s="59">
        <f>ROUND(E105*(1+'Логика цен'!$B$3),-3)</f>
        <v/>
      </c>
      <c r="H105" s="60">
        <f>ROUND(F105/(1+'Логика цен'!$B$9),-3)</f>
        <v/>
      </c>
      <c r="I105" s="61">
        <f>ROUND(G105/(1+'Логика цен'!$B$9),-3)</f>
        <v/>
      </c>
      <c r="J105" s="61">
        <f>ROUND(D105*(1+'Логика цен'!$B$3)*(1-'Логика цен'!$B$8),-3)</f>
        <v/>
      </c>
      <c r="K105" s="61">
        <f>ROUND(E105*(1+'Логика цен'!$B$3)*(1-'Логика цен'!$B$8),-3)</f>
        <v/>
      </c>
      <c r="L105" s="61">
        <f>ROUND(D105*'Логика цен'!$B$6,-3)</f>
        <v/>
      </c>
      <c r="M105" s="45" t="n"/>
    </row>
    <row r="106" ht="15" customHeight="1" s="38">
      <c r="A106" s="56" t="n">
        <v>94</v>
      </c>
      <c r="B106" s="57" t="inlineStr">
        <is>
          <t>Покраска потолка</t>
        </is>
      </c>
      <c r="C106" s="57" t="inlineStr">
        <is>
          <t>м²</t>
        </is>
      </c>
      <c r="D106" s="58" t="n">
        <v>30000</v>
      </c>
      <c r="E106" s="58" t="n">
        <v>50000</v>
      </c>
      <c r="F106" s="59">
        <f>ROUND(D106*(1+'Логика цен'!$B$3),-3)</f>
        <v/>
      </c>
      <c r="G106" s="59">
        <f>ROUND(E106*(1+'Логика цен'!$B$3),-3)</f>
        <v/>
      </c>
      <c r="H106" s="60">
        <f>ROUND(F106/(1+'Логика цен'!$B$9),-3)</f>
        <v/>
      </c>
      <c r="I106" s="61">
        <f>ROUND(G106/(1+'Логика цен'!$B$9),-3)</f>
        <v/>
      </c>
      <c r="J106" s="61">
        <f>ROUND(D106*(1+'Логика цен'!$B$3)*(1-'Логика цен'!$B$8),-3)</f>
        <v/>
      </c>
      <c r="K106" s="61">
        <f>ROUND(E106*(1+'Логика цен'!$B$3)*(1-'Логика цен'!$B$8),-3)</f>
        <v/>
      </c>
      <c r="L106" s="61">
        <f>ROUND(D106*'Логика цен'!$B$6,-3)</f>
        <v/>
      </c>
      <c r="M106" s="45" t="n"/>
    </row>
    <row r="107" ht="15" customHeight="1" s="38">
      <c r="A107" s="56" t="n">
        <v>95</v>
      </c>
      <c r="B107" s="57" t="inlineStr">
        <is>
          <t>Поклейка обоев</t>
        </is>
      </c>
      <c r="C107" s="57" t="inlineStr">
        <is>
          <t>м²</t>
        </is>
      </c>
      <c r="D107" s="58" t="n">
        <v>25000</v>
      </c>
      <c r="E107" s="58" t="n">
        <v>45000</v>
      </c>
      <c r="F107" s="59">
        <f>ROUND(D107*(1+'Логика цен'!$B$3),-3)</f>
        <v/>
      </c>
      <c r="G107" s="59">
        <f>ROUND(E107*(1+'Логика цен'!$B$3),-3)</f>
        <v/>
      </c>
      <c r="H107" s="60">
        <f>ROUND(F107/(1+'Логика цен'!$B$9),-3)</f>
        <v/>
      </c>
      <c r="I107" s="61">
        <f>ROUND(G107/(1+'Логика цен'!$B$9),-3)</f>
        <v/>
      </c>
      <c r="J107" s="61">
        <f>ROUND(D107*(1+'Логика цен'!$B$3)*(1-'Логика цен'!$B$8),-3)</f>
        <v/>
      </c>
      <c r="K107" s="61">
        <f>ROUND(E107*(1+'Логика цен'!$B$3)*(1-'Логика цен'!$B$8),-3)</f>
        <v/>
      </c>
      <c r="L107" s="61">
        <f>ROUND(D107*'Логика цен'!$B$6,-3)</f>
        <v/>
      </c>
      <c r="M107" s="45" t="n"/>
    </row>
    <row r="108" ht="15" customHeight="1" s="38">
      <c r="A108" s="56" t="n">
        <v>96</v>
      </c>
      <c r="B108" s="57" t="inlineStr">
        <is>
          <t>Локальный ремонт стены (трещины, сколы, до 1 м²)</t>
        </is>
      </c>
      <c r="C108" s="57" t="inlineStr">
        <is>
          <t>место</t>
        </is>
      </c>
      <c r="D108" s="58" t="n">
        <v>100000</v>
      </c>
      <c r="E108" s="58" t="n">
        <v>200000</v>
      </c>
      <c r="F108" s="59">
        <f>ROUND(D108*(1+'Логика цен'!$B$3),-3)</f>
        <v/>
      </c>
      <c r="G108" s="59">
        <f>ROUND(E108*(1+'Логика цен'!$B$3),-3)</f>
        <v/>
      </c>
      <c r="H108" s="60">
        <f>ROUND(F108/(1+'Логика цен'!$B$9),-3)</f>
        <v/>
      </c>
      <c r="I108" s="61">
        <f>ROUND(G108/(1+'Логика цен'!$B$9),-3)</f>
        <v/>
      </c>
      <c r="J108" s="61">
        <f>ROUND(D108*(1+'Логика цен'!$B$3)*(1-'Логика цен'!$B$8),-3)</f>
        <v/>
      </c>
      <c r="K108" s="61">
        <f>ROUND(E108*(1+'Логика цен'!$B$3)*(1-'Логика цен'!$B$8),-3)</f>
        <v/>
      </c>
      <c r="L108" s="61">
        <f>ROUND(D108*'Логика цен'!$B$6,-3)</f>
        <v/>
      </c>
      <c r="M108" s="45" t="inlineStr">
        <is>
          <t>Частая B2B-заявка</t>
        </is>
      </c>
    </row>
    <row r="109" ht="15" customHeight="1" s="38">
      <c r="A109" s="56" t="n">
        <v>97</v>
      </c>
      <c r="B109" s="57" t="inlineStr">
        <is>
          <t>Укладка плитки (локально/ремонтная)</t>
        </is>
      </c>
      <c r="C109" s="57" t="inlineStr">
        <is>
          <t>м²</t>
        </is>
      </c>
      <c r="D109" s="58" t="n">
        <v>120000</v>
      </c>
      <c r="E109" s="58" t="n">
        <v>200000</v>
      </c>
      <c r="F109" s="59">
        <f>ROUND(D109*(1+'Логика цен'!$B$3),-3)</f>
        <v/>
      </c>
      <c r="G109" s="59">
        <f>ROUND(E109*(1+'Логика цен'!$B$3),-3)</f>
        <v/>
      </c>
      <c r="H109" s="60">
        <f>ROUND(F109/(1+'Логика цен'!$B$9),-3)</f>
        <v/>
      </c>
      <c r="I109" s="61">
        <f>ROUND(G109/(1+'Логика цен'!$B$9),-3)</f>
        <v/>
      </c>
      <c r="J109" s="61">
        <f>ROUND(D109*(1+'Логика цен'!$B$3)*(1-'Логика цен'!$B$8),-3)</f>
        <v/>
      </c>
      <c r="K109" s="61">
        <f>ROUND(E109*(1+'Логика цен'!$B$3)*(1-'Логика цен'!$B$8),-3)</f>
        <v/>
      </c>
      <c r="L109" s="61">
        <f>ROUND(D109*'Логика цен'!$B$6,-3)</f>
        <v/>
      </c>
      <c r="M109" s="45" t="n"/>
    </row>
    <row r="110" ht="15" customHeight="1" s="38">
      <c r="A110" s="56" t="n">
        <v>98</v>
      </c>
      <c r="B110" s="57" t="inlineStr">
        <is>
          <t>Затирка/обновление швов плитки</t>
        </is>
      </c>
      <c r="C110" s="57" t="inlineStr">
        <is>
          <t>м²</t>
        </is>
      </c>
      <c r="D110" s="58" t="n">
        <v>20000</v>
      </c>
      <c r="E110" s="58" t="n">
        <v>50000</v>
      </c>
      <c r="F110" s="59">
        <f>ROUND(D110*(1+'Логика цен'!$B$3),-3)</f>
        <v/>
      </c>
      <c r="G110" s="59">
        <f>ROUND(E110*(1+'Логика цен'!$B$3),-3)</f>
        <v/>
      </c>
      <c r="H110" s="60">
        <f>ROUND(F110/(1+'Логика цен'!$B$9),-3)</f>
        <v/>
      </c>
      <c r="I110" s="61">
        <f>ROUND(G110/(1+'Логика цен'!$B$9),-3)</f>
        <v/>
      </c>
      <c r="J110" s="61">
        <f>ROUND(D110*(1+'Логика цен'!$B$3)*(1-'Логика цен'!$B$8),-3)</f>
        <v/>
      </c>
      <c r="K110" s="61">
        <f>ROUND(E110*(1+'Логика цен'!$B$3)*(1-'Логика цен'!$B$8),-3)</f>
        <v/>
      </c>
      <c r="L110" s="61">
        <f>ROUND(D110*'Логика цен'!$B$6,-3)</f>
        <v/>
      </c>
      <c r="M110" s="45" t="n"/>
    </row>
    <row r="111" ht="15" customHeight="1" s="38">
      <c r="A111" s="56" t="n">
        <v>99</v>
      </c>
      <c r="B111" s="57" t="inlineStr">
        <is>
          <t>Декоративная штукатурка (простая)</t>
        </is>
      </c>
      <c r="C111" s="57" t="inlineStr">
        <is>
          <t>м²</t>
        </is>
      </c>
      <c r="D111" s="58" t="n">
        <v>60000</v>
      </c>
      <c r="E111" s="58" t="n">
        <v>120000</v>
      </c>
      <c r="F111" s="59">
        <f>ROUND(D111*(1+'Логика цен'!$B$3),-3)</f>
        <v/>
      </c>
      <c r="G111" s="59">
        <f>ROUND(E111*(1+'Логика цен'!$B$3),-3)</f>
        <v/>
      </c>
      <c r="H111" s="60">
        <f>ROUND(F111/(1+'Логика цен'!$B$9),-3)</f>
        <v/>
      </c>
      <c r="I111" s="61">
        <f>ROUND(G111/(1+'Логика цен'!$B$9),-3)</f>
        <v/>
      </c>
      <c r="J111" s="61">
        <f>ROUND(D111*(1+'Логика цен'!$B$3)*(1-'Логика цен'!$B$8),-3)</f>
        <v/>
      </c>
      <c r="K111" s="61">
        <f>ROUND(E111*(1+'Логика цен'!$B$3)*(1-'Логика цен'!$B$8),-3)</f>
        <v/>
      </c>
      <c r="L111" s="61">
        <f>ROUND(D111*'Логика цен'!$B$6,-3)</f>
        <v/>
      </c>
      <c r="M111" s="45" t="n"/>
    </row>
    <row r="112" ht="15" customHeight="1" s="38">
      <c r="A112" s="53" t="inlineStr">
        <is>
          <t>ПОЛЫ И ПОТОЛКИ</t>
        </is>
      </c>
      <c r="B112" s="54" t="n"/>
      <c r="C112" s="54" t="n"/>
      <c r="D112" s="54" t="n"/>
      <c r="E112" s="54" t="n"/>
      <c r="F112" s="54" t="n"/>
      <c r="G112" s="54" t="n"/>
      <c r="H112" s="55" t="n"/>
    </row>
    <row r="113" ht="15" customHeight="1" s="38">
      <c r="A113" s="56" t="n">
        <v>100</v>
      </c>
      <c r="B113" s="57" t="inlineStr">
        <is>
          <t>Укладка ламината</t>
        </is>
      </c>
      <c r="C113" s="57" t="inlineStr">
        <is>
          <t>м²</t>
        </is>
      </c>
      <c r="D113" s="58" t="n">
        <v>30000</v>
      </c>
      <c r="E113" s="58" t="n">
        <v>50000</v>
      </c>
      <c r="F113" s="59">
        <f>ROUND(D113*(1+'Логика цен'!$B$3),-3)</f>
        <v/>
      </c>
      <c r="G113" s="59">
        <f>ROUND(E113*(1+'Логика цен'!$B$3),-3)</f>
        <v/>
      </c>
      <c r="H113" s="60">
        <f>ROUND(F113/(1+'Логика цен'!$B$9),-3)</f>
        <v/>
      </c>
      <c r="I113" s="61">
        <f>ROUND(G113/(1+'Логика цен'!$B$9),-3)</f>
        <v/>
      </c>
      <c r="J113" s="61">
        <f>ROUND(D113*(1+'Логика цен'!$B$3)*(1-'Логика цен'!$B$8),-3)</f>
        <v/>
      </c>
      <c r="K113" s="61">
        <f>ROUND(E113*(1+'Логика цен'!$B$3)*(1-'Логика цен'!$B$8),-3)</f>
        <v/>
      </c>
      <c r="L113" s="61">
        <f>ROUND(D113*'Логика цен'!$B$6,-3)</f>
        <v/>
      </c>
      <c r="M113" s="45" t="n"/>
    </row>
    <row r="114" ht="15" customHeight="1" s="38">
      <c r="A114" s="56" t="n">
        <v>101</v>
      </c>
      <c r="B114" s="57" t="inlineStr">
        <is>
          <t>Укладка линолеума/ковролина</t>
        </is>
      </c>
      <c r="C114" s="57" t="inlineStr">
        <is>
          <t>м²</t>
        </is>
      </c>
      <c r="D114" s="58" t="n">
        <v>40000</v>
      </c>
      <c r="E114" s="58" t="n">
        <v>55000</v>
      </c>
      <c r="F114" s="59">
        <f>ROUND(D114*(1+'Логика цен'!$B$3),-3)</f>
        <v/>
      </c>
      <c r="G114" s="59">
        <f>ROUND(E114*(1+'Логика цен'!$B$3),-3)</f>
        <v/>
      </c>
      <c r="H114" s="60">
        <f>ROUND(F114/(1+'Логика цен'!$B$9),-3)</f>
        <v/>
      </c>
      <c r="I114" s="61">
        <f>ROUND(G114/(1+'Логика цен'!$B$9),-3)</f>
        <v/>
      </c>
      <c r="J114" s="61">
        <f>ROUND(D114*(1+'Логика цен'!$B$3)*(1-'Логика цен'!$B$8),-3)</f>
        <v/>
      </c>
      <c r="K114" s="61">
        <f>ROUND(E114*(1+'Логика цен'!$B$3)*(1-'Логика цен'!$B$8),-3)</f>
        <v/>
      </c>
      <c r="L114" s="61">
        <f>ROUND(D114*'Логика цен'!$B$6,-3)</f>
        <v/>
      </c>
      <c r="M114" s="45" t="n"/>
    </row>
    <row r="115" ht="15" customHeight="1" s="38">
      <c r="A115" s="56" t="n">
        <v>102</v>
      </c>
      <c r="B115" s="57" t="inlineStr">
        <is>
          <t>Монтаж плинтуса</t>
        </is>
      </c>
      <c r="C115" s="57" t="inlineStr">
        <is>
          <t>п.м</t>
        </is>
      </c>
      <c r="D115" s="58" t="n">
        <v>20000</v>
      </c>
      <c r="E115" s="58" t="n">
        <v>40000</v>
      </c>
      <c r="F115" s="59">
        <f>ROUND(D115*(1+'Логика цен'!$B$3),-3)</f>
        <v/>
      </c>
      <c r="G115" s="59">
        <f>ROUND(E115*(1+'Логика цен'!$B$3),-3)</f>
        <v/>
      </c>
      <c r="H115" s="60">
        <f>ROUND(F115/(1+'Логика цен'!$B$9),-3)</f>
        <v/>
      </c>
      <c r="I115" s="61">
        <f>ROUND(G115/(1+'Логика цен'!$B$9),-3)</f>
        <v/>
      </c>
      <c r="J115" s="61">
        <f>ROUND(D115*(1+'Логика цен'!$B$3)*(1-'Логика цен'!$B$8),-3)</f>
        <v/>
      </c>
      <c r="K115" s="61">
        <f>ROUND(E115*(1+'Логика цен'!$B$3)*(1-'Логика цен'!$B$8),-3)</f>
        <v/>
      </c>
      <c r="L115" s="61">
        <f>ROUND(D115*'Логика цен'!$B$6,-3)</f>
        <v/>
      </c>
      <c r="M115" s="45" t="inlineStr">
        <is>
          <t>пластик \ дерево</t>
        </is>
      </c>
    </row>
    <row r="116" ht="15" customHeight="1" s="38">
      <c r="A116" s="56" t="n">
        <v>103</v>
      </c>
      <c r="B116" s="57" t="inlineStr">
        <is>
          <t>Ремонт скрипящего пола (локально)</t>
        </is>
      </c>
      <c r="C116" s="57" t="inlineStr">
        <is>
          <t>место</t>
        </is>
      </c>
      <c r="D116" s="58" t="n">
        <v>150000</v>
      </c>
      <c r="E116" s="58" t="n">
        <v>500000</v>
      </c>
      <c r="F116" s="59">
        <f>ROUND(D116*(1+'Логика цен'!$B$3),-3)</f>
        <v/>
      </c>
      <c r="G116" s="59">
        <f>ROUND(E116*(1+'Логика цен'!$B$3),-3)</f>
        <v/>
      </c>
      <c r="H116" s="60">
        <f>ROUND(F116/(1+'Логика цен'!$B$9),-3)</f>
        <v/>
      </c>
      <c r="I116" s="61">
        <f>ROUND(G116/(1+'Логика цен'!$B$9),-3)</f>
        <v/>
      </c>
      <c r="J116" s="61">
        <f>ROUND(D116*(1+'Логика цен'!$B$3)*(1-'Логика цен'!$B$8),-3)</f>
        <v/>
      </c>
      <c r="K116" s="61">
        <f>ROUND(E116*(1+'Логика цен'!$B$3)*(1-'Логика цен'!$B$8),-3)</f>
        <v/>
      </c>
      <c r="L116" s="61">
        <f>ROUND(D116*'Логика цен'!$B$6,-3)</f>
        <v/>
      </c>
      <c r="M116" s="45" t="inlineStr">
        <is>
          <t>удаленность от стены</t>
        </is>
      </c>
    </row>
    <row r="117" ht="15" customHeight="1" s="38">
      <c r="A117" s="56" t="n">
        <v>104</v>
      </c>
      <c r="B117" s="57" t="inlineStr">
        <is>
          <t>Стяжка/выравнивание пола (наливной)</t>
        </is>
      </c>
      <c r="C117" s="57" t="inlineStr">
        <is>
          <t>м²</t>
        </is>
      </c>
      <c r="D117" s="58" t="n">
        <v>35000</v>
      </c>
      <c r="E117" s="58" t="n">
        <v>60000</v>
      </c>
      <c r="F117" s="59">
        <f>ROUND(D117*(1+'Логика цен'!$B$3),-3)</f>
        <v/>
      </c>
      <c r="G117" s="59">
        <f>ROUND(E117*(1+'Логика цен'!$B$3),-3)</f>
        <v/>
      </c>
      <c r="H117" s="60">
        <f>ROUND(F117/(1+'Логика цен'!$B$9),-3)</f>
        <v/>
      </c>
      <c r="I117" s="61">
        <f>ROUND(G117/(1+'Логика цен'!$B$9),-3)</f>
        <v/>
      </c>
      <c r="J117" s="61">
        <f>ROUND(D117*(1+'Логика цен'!$B$3)*(1-'Логика цен'!$B$8),-3)</f>
        <v/>
      </c>
      <c r="K117" s="61">
        <f>ROUND(E117*(1+'Логика цен'!$B$3)*(1-'Логика цен'!$B$8),-3)</f>
        <v/>
      </c>
      <c r="L117" s="61">
        <f>ROUND(D117*'Логика цен'!$B$6,-3)</f>
        <v/>
      </c>
      <c r="M117" s="45" t="inlineStr">
        <is>
          <t>полусухая \ наливная смесь</t>
        </is>
      </c>
    </row>
    <row r="118" ht="15" customHeight="1" s="38">
      <c r="A118" s="56" t="n">
        <v>105</v>
      </c>
      <c r="B118" s="57" t="inlineStr">
        <is>
          <t>Гипсокартон: заделка отверстий, ремонт</t>
        </is>
      </c>
      <c r="C118" s="57" t="inlineStr">
        <is>
          <t>место</t>
        </is>
      </c>
      <c r="D118" s="58" t="n">
        <v>100000</v>
      </c>
      <c r="E118" s="58" t="n">
        <v>200000</v>
      </c>
      <c r="F118" s="59">
        <f>ROUND(D118*(1+'Логика цен'!$B$3),-3)</f>
        <v/>
      </c>
      <c r="G118" s="59">
        <f>ROUND(E118*(1+'Логика цен'!$B$3),-3)</f>
        <v/>
      </c>
      <c r="H118" s="60">
        <f>ROUND(F118/(1+'Логика цен'!$B$9),-3)</f>
        <v/>
      </c>
      <c r="I118" s="61">
        <f>ROUND(G118/(1+'Логика цен'!$B$9),-3)</f>
        <v/>
      </c>
      <c r="J118" s="61">
        <f>ROUND(D118*(1+'Логика цен'!$B$3)*(1-'Логика цен'!$B$8),-3)</f>
        <v/>
      </c>
      <c r="K118" s="61">
        <f>ROUND(E118*(1+'Логика цен'!$B$3)*(1-'Логика цен'!$B$8),-3)</f>
        <v/>
      </c>
      <c r="L118" s="61">
        <f>ROUND(D118*'Логика цен'!$B$6,-3)</f>
        <v/>
      </c>
      <c r="M118" s="45" t="n"/>
    </row>
    <row r="119" ht="15" customHeight="1" s="38">
      <c r="A119" s="56" t="n">
        <v>106</v>
      </c>
      <c r="B119" s="57" t="inlineStr">
        <is>
          <t>Гипсокартон: короб/перегородка</t>
        </is>
      </c>
      <c r="C119" s="57" t="inlineStr">
        <is>
          <t>м²</t>
        </is>
      </c>
      <c r="D119" s="58" t="n">
        <v>80000</v>
      </c>
      <c r="E119" s="58" t="n">
        <v>150000</v>
      </c>
      <c r="F119" s="59">
        <f>ROUND(D119*(1+'Логика цен'!$B$3),-3)</f>
        <v/>
      </c>
      <c r="G119" s="59">
        <f>ROUND(E119*(1+'Логика цен'!$B$3),-3)</f>
        <v/>
      </c>
      <c r="H119" s="60">
        <f>ROUND(F119/(1+'Логика цен'!$B$9),-3)</f>
        <v/>
      </c>
      <c r="I119" s="61">
        <f>ROUND(G119/(1+'Логика цен'!$B$9),-3)</f>
        <v/>
      </c>
      <c r="J119" s="61">
        <f>ROUND(D119*(1+'Логика цен'!$B$3)*(1-'Логика цен'!$B$8),-3)</f>
        <v/>
      </c>
      <c r="K119" s="61">
        <f>ROUND(E119*(1+'Логика цен'!$B$3)*(1-'Логика цен'!$B$8),-3)</f>
        <v/>
      </c>
      <c r="L119" s="61">
        <f>ROUND(D119*'Логика цен'!$B$6,-3)</f>
        <v/>
      </c>
      <c r="M119" s="45" t="n"/>
    </row>
    <row r="120" ht="15" customHeight="1" s="38">
      <c r="A120" s="53" t="inlineStr">
        <is>
          <t>ОКНА, ДВЕРИ, БАЛКОНЫ</t>
        </is>
      </c>
      <c r="B120" s="54" t="n"/>
      <c r="C120" s="54" t="n"/>
      <c r="D120" s="54" t="n"/>
      <c r="E120" s="54" t="n"/>
      <c r="F120" s="54" t="n"/>
      <c r="G120" s="54" t="n"/>
      <c r="H120" s="55" t="n"/>
    </row>
    <row r="121" ht="15" customHeight="1" s="38">
      <c r="A121" s="56" t="n">
        <v>107</v>
      </c>
      <c r="B121" s="57" t="inlineStr">
        <is>
          <t>Регулировка пластикового окна/двери</t>
        </is>
      </c>
      <c r="C121" s="57" t="inlineStr">
        <is>
          <t>створка</t>
        </is>
      </c>
      <c r="D121" s="58" t="n">
        <v>60000</v>
      </c>
      <c r="E121" s="58" t="n">
        <v>100000</v>
      </c>
      <c r="F121" s="59">
        <f>ROUND(D121*(1+'Логика цен'!$B$3),-3)</f>
        <v/>
      </c>
      <c r="G121" s="59">
        <f>ROUND(E121*(1+'Логика цен'!$B$3),-3)</f>
        <v/>
      </c>
      <c r="H121" s="60">
        <f>ROUND(F121/(1+'Логика цен'!$B$9),-3)</f>
        <v/>
      </c>
      <c r="I121" s="61">
        <f>ROUND(G121/(1+'Логика цен'!$B$9),-3)</f>
        <v/>
      </c>
      <c r="J121" s="61">
        <f>ROUND(D121*(1+'Логика цен'!$B$3)*(1-'Логика цен'!$B$8),-3)</f>
        <v/>
      </c>
      <c r="K121" s="61">
        <f>ROUND(E121*(1+'Логика цен'!$B$3)*(1-'Логика цен'!$B$8),-3)</f>
        <v/>
      </c>
      <c r="L121" s="61">
        <f>ROUND(D121*'Логика цен'!$B$6,-3)</f>
        <v/>
      </c>
      <c r="M121" s="45" t="inlineStr">
        <is>
          <t>Сезон: осень/весна</t>
        </is>
      </c>
    </row>
    <row r="122" ht="15" customHeight="1" s="38">
      <c r="A122" s="56" t="n">
        <v>108</v>
      </c>
      <c r="B122" s="57" t="inlineStr">
        <is>
          <t>Замена уплотнителя окна</t>
        </is>
      </c>
      <c r="C122" s="57" t="inlineStr">
        <is>
          <t>п.м</t>
        </is>
      </c>
      <c r="D122" s="58" t="n">
        <v>20000</v>
      </c>
      <c r="E122" s="58" t="n">
        <v>35000</v>
      </c>
      <c r="F122" s="59">
        <f>ROUND(D122*(1+'Логика цен'!$B$3),-3)</f>
        <v/>
      </c>
      <c r="G122" s="59">
        <f>ROUND(E122*(1+'Логика цен'!$B$3),-3)</f>
        <v/>
      </c>
      <c r="H122" s="60">
        <f>ROUND(F122/(1+'Логика цен'!$B$9),-3)</f>
        <v/>
      </c>
      <c r="I122" s="61">
        <f>ROUND(G122/(1+'Логика цен'!$B$9),-3)</f>
        <v/>
      </c>
      <c r="J122" s="61">
        <f>ROUND(D122*(1+'Логика цен'!$B$3)*(1-'Логика цен'!$B$8),-3)</f>
        <v/>
      </c>
      <c r="K122" s="61">
        <f>ROUND(E122*(1+'Логика цен'!$B$3)*(1-'Логика цен'!$B$8),-3)</f>
        <v/>
      </c>
      <c r="L122" s="61">
        <f>ROUND(D122*'Логика цен'!$B$6,-3)</f>
        <v/>
      </c>
      <c r="M122" s="45" t="n"/>
    </row>
    <row r="123" ht="15" customHeight="1" s="38">
      <c r="A123" s="56" t="n">
        <v>109</v>
      </c>
      <c r="B123" s="57" t="inlineStr">
        <is>
          <t>Замена фурнитуры/ручки окна</t>
        </is>
      </c>
      <c r="C123" s="57" t="inlineStr">
        <is>
          <t>шт</t>
        </is>
      </c>
      <c r="D123" s="58" t="n">
        <v>60000</v>
      </c>
      <c r="E123" s="58" t="n">
        <v>120000</v>
      </c>
      <c r="F123" s="59">
        <f>ROUND(D123*(1+'Логика цен'!$B$3),-3)</f>
        <v/>
      </c>
      <c r="G123" s="59">
        <f>ROUND(E123*(1+'Логика цен'!$B$3),-3)</f>
        <v/>
      </c>
      <c r="H123" s="60">
        <f>ROUND(F123/(1+'Логика цен'!$B$9),-3)</f>
        <v/>
      </c>
      <c r="I123" s="61">
        <f>ROUND(G123/(1+'Логика цен'!$B$9),-3)</f>
        <v/>
      </c>
      <c r="J123" s="61">
        <f>ROUND(D123*(1+'Логика цен'!$B$3)*(1-'Логика цен'!$B$8),-3)</f>
        <v/>
      </c>
      <c r="K123" s="61">
        <f>ROUND(E123*(1+'Логика цен'!$B$3)*(1-'Логика цен'!$B$8),-3)</f>
        <v/>
      </c>
      <c r="L123" s="61">
        <f>ROUND(D123*'Логика цен'!$B$6,-3)</f>
        <v/>
      </c>
      <c r="M123" s="45" t="n"/>
    </row>
    <row r="124" ht="15" customHeight="1" s="38">
      <c r="A124" s="56" t="n">
        <v>110</v>
      </c>
      <c r="B124" s="57" t="inlineStr">
        <is>
          <t>Установка/ремонт москитной сетки</t>
        </is>
      </c>
      <c r="C124" s="57" t="inlineStr">
        <is>
          <t>шт</t>
        </is>
      </c>
      <c r="D124" s="58" t="n">
        <v>50000</v>
      </c>
      <c r="E124" s="58" t="n">
        <v>100000</v>
      </c>
      <c r="F124" s="59">
        <f>ROUND(D124*(1+'Логика цен'!$B$3),-3)</f>
        <v/>
      </c>
      <c r="G124" s="59">
        <f>ROUND(E124*(1+'Логика цен'!$B$3),-3)</f>
        <v/>
      </c>
      <c r="H124" s="60">
        <f>ROUND(F124/(1+'Логика цен'!$B$9),-3)</f>
        <v/>
      </c>
      <c r="I124" s="61">
        <f>ROUND(G124/(1+'Логика цен'!$B$9),-3)</f>
        <v/>
      </c>
      <c r="J124" s="61">
        <f>ROUND(D124*(1+'Логика цен'!$B$3)*(1-'Логика цен'!$B$8),-3)</f>
        <v/>
      </c>
      <c r="K124" s="61">
        <f>ROUND(E124*(1+'Логика цен'!$B$3)*(1-'Логика цен'!$B$8),-3)</f>
        <v/>
      </c>
      <c r="L124" s="61">
        <f>ROUND(D124*'Логика цен'!$B$6,-3)</f>
        <v/>
      </c>
      <c r="M124" s="45" t="inlineStr">
        <is>
          <t>Сезонный хит</t>
        </is>
      </c>
    </row>
    <row r="125" ht="15" customHeight="1" s="38">
      <c r="A125" s="56" t="n">
        <v>111</v>
      </c>
      <c r="B125" s="57" t="inlineStr">
        <is>
          <t>Замена стеклопакета</t>
        </is>
      </c>
      <c r="C125" s="57" t="inlineStr">
        <is>
          <t>шт</t>
        </is>
      </c>
      <c r="D125" s="58" t="n">
        <v>150000</v>
      </c>
      <c r="E125" s="58" t="n">
        <v>300000</v>
      </c>
      <c r="F125" s="59">
        <f>ROUND(D125*(1+'Логика цен'!$B$3),-3)</f>
        <v/>
      </c>
      <c r="G125" s="59">
        <f>ROUND(E125*(1+'Логика цен'!$B$3),-3)</f>
        <v/>
      </c>
      <c r="H125" s="60">
        <f>ROUND(F125/(1+'Логика цен'!$B$9),-3)</f>
        <v/>
      </c>
      <c r="I125" s="61">
        <f>ROUND(G125/(1+'Логика цен'!$B$9),-3)</f>
        <v/>
      </c>
      <c r="J125" s="61">
        <f>ROUND(D125*(1+'Логика цен'!$B$3)*(1-'Логика цен'!$B$8),-3)</f>
        <v/>
      </c>
      <c r="K125" s="61">
        <f>ROUND(E125*(1+'Логика цен'!$B$3)*(1-'Логика цен'!$B$8),-3)</f>
        <v/>
      </c>
      <c r="L125" s="61">
        <f>ROUND(D125*'Логика цен'!$B$6,-3)</f>
        <v/>
      </c>
      <c r="M125" s="45" t="inlineStr">
        <is>
          <t>Без стоимости стеклопакета</t>
        </is>
      </c>
    </row>
    <row r="126" ht="15" customHeight="1" s="38">
      <c r="A126" s="56" t="n">
        <v>112</v>
      </c>
      <c r="B126" s="57" t="inlineStr">
        <is>
          <t>Замена дверного замка/ручки/личинки</t>
        </is>
      </c>
      <c r="C126" s="57" t="inlineStr">
        <is>
          <t>шт</t>
        </is>
      </c>
      <c r="D126" s="58" t="n">
        <v>100000</v>
      </c>
      <c r="E126" s="58" t="n">
        <v>180000</v>
      </c>
      <c r="F126" s="59">
        <f>ROUND(D126*(1+'Логика цен'!$B$3),-3)</f>
        <v/>
      </c>
      <c r="G126" s="59">
        <f>ROUND(E126*(1+'Логика цен'!$B$3),-3)</f>
        <v/>
      </c>
      <c r="H126" s="60">
        <f>ROUND(F126/(1+'Логика цен'!$B$9),-3)</f>
        <v/>
      </c>
      <c r="I126" s="61">
        <f>ROUND(G126/(1+'Логика цен'!$B$9),-3)</f>
        <v/>
      </c>
      <c r="J126" s="61">
        <f>ROUND(D126*(1+'Логика цен'!$B$3)*(1-'Логика цен'!$B$8),-3)</f>
        <v/>
      </c>
      <c r="K126" s="61">
        <f>ROUND(E126*(1+'Логика цен'!$B$3)*(1-'Логика цен'!$B$8),-3)</f>
        <v/>
      </c>
      <c r="L126" s="61">
        <f>ROUND(D126*'Логика цен'!$B$6,-3)</f>
        <v/>
      </c>
      <c r="M126" s="45" t="n"/>
    </row>
    <row r="127" ht="15" customHeight="1" s="38">
      <c r="A127" s="56" t="n">
        <v>113</v>
      </c>
      <c r="B127" s="57" t="inlineStr">
        <is>
          <t>Установка межкомнатной двери</t>
        </is>
      </c>
      <c r="C127" s="57" t="inlineStr">
        <is>
          <t>шт</t>
        </is>
      </c>
      <c r="D127" s="58" t="n">
        <v>400000</v>
      </c>
      <c r="E127" s="58" t="n">
        <v>700000</v>
      </c>
      <c r="F127" s="59">
        <f>ROUND(D127*(1+'Логика цен'!$B$3),-3)</f>
        <v/>
      </c>
      <c r="G127" s="59">
        <f>ROUND(E127*(1+'Логика цен'!$B$3),-3)</f>
        <v/>
      </c>
      <c r="H127" s="60">
        <f>ROUND(F127/(1+'Логика цен'!$B$9),-3)</f>
        <v/>
      </c>
      <c r="I127" s="61">
        <f>ROUND(G127/(1+'Логика цен'!$B$9),-3)</f>
        <v/>
      </c>
      <c r="J127" s="61">
        <f>ROUND(D127*(1+'Логика цен'!$B$3)*(1-'Логика цен'!$B$8),-3)</f>
        <v/>
      </c>
      <c r="K127" s="61">
        <f>ROUND(E127*(1+'Логика цен'!$B$3)*(1-'Логика цен'!$B$8),-3)</f>
        <v/>
      </c>
      <c r="L127" s="61">
        <f>ROUND(D127*'Логика цен'!$B$6,-3)</f>
        <v/>
      </c>
      <c r="M127" s="45" t="inlineStr">
        <is>
          <t>С коробкой и наличниками</t>
        </is>
      </c>
    </row>
    <row r="128" ht="15" customHeight="1" s="38">
      <c r="A128" s="56" t="n">
        <v>114</v>
      </c>
      <c r="B128" s="57" t="inlineStr">
        <is>
          <t>Регулировка/ремонт межкомнатной двери</t>
        </is>
      </c>
      <c r="C128" s="57" t="inlineStr">
        <is>
          <t>шт</t>
        </is>
      </c>
      <c r="D128" s="58" t="n">
        <v>80000</v>
      </c>
      <c r="E128" s="58" t="n">
        <v>150000</v>
      </c>
      <c r="F128" s="59">
        <f>ROUND(D128*(1+'Логика цен'!$B$3),-3)</f>
        <v/>
      </c>
      <c r="G128" s="59">
        <f>ROUND(E128*(1+'Логика цен'!$B$3),-3)</f>
        <v/>
      </c>
      <c r="H128" s="60">
        <f>ROUND(F128/(1+'Логика цен'!$B$9),-3)</f>
        <v/>
      </c>
      <c r="I128" s="61">
        <f>ROUND(G128/(1+'Логика цен'!$B$9),-3)</f>
        <v/>
      </c>
      <c r="J128" s="61">
        <f>ROUND(D128*(1+'Логика цен'!$B$3)*(1-'Логика цен'!$B$8),-3)</f>
        <v/>
      </c>
      <c r="K128" s="61">
        <f>ROUND(E128*(1+'Логика цен'!$B$3)*(1-'Логика цен'!$B$8),-3)</f>
        <v/>
      </c>
      <c r="L128" s="61">
        <f>ROUND(D128*'Логика цен'!$B$6,-3)</f>
        <v/>
      </c>
      <c r="M128" s="45" t="n"/>
    </row>
    <row r="129" ht="15" customHeight="1" s="38">
      <c r="A129" s="56" t="n">
        <v>115</v>
      </c>
      <c r="B129" s="57" t="inlineStr">
        <is>
          <t>Утепление/шумоизоляция входной двери</t>
        </is>
      </c>
      <c r="C129" s="57" t="inlineStr">
        <is>
          <t>м²</t>
        </is>
      </c>
      <c r="D129" s="58" t="n">
        <v>150000</v>
      </c>
      <c r="E129" s="58" t="n">
        <v>300000</v>
      </c>
      <c r="F129" s="59">
        <f>ROUND(D129*(1+'Логика цен'!$B$3),-3)</f>
        <v/>
      </c>
      <c r="G129" s="59">
        <f>ROUND(E129*(1+'Логика цен'!$B$3),-3)</f>
        <v/>
      </c>
      <c r="H129" s="60">
        <f>ROUND(F129/(1+'Логика цен'!$B$9),-3)</f>
        <v/>
      </c>
      <c r="I129" s="61">
        <f>ROUND(G129/(1+'Логика цен'!$B$9),-3)</f>
        <v/>
      </c>
      <c r="J129" s="61">
        <f>ROUND(D129*(1+'Логика цен'!$B$3)*(1-'Логика цен'!$B$8),-3)</f>
        <v/>
      </c>
      <c r="K129" s="61">
        <f>ROUND(E129*(1+'Логика цен'!$B$3)*(1-'Логика цен'!$B$8),-3)</f>
        <v/>
      </c>
      <c r="L129" s="61">
        <f>ROUND(D129*'Логика цен'!$B$6,-3)</f>
        <v/>
      </c>
      <c r="M129" s="45" t="n"/>
    </row>
    <row r="130" ht="15" customHeight="1" s="38">
      <c r="A130" s="53" t="inlineStr">
        <is>
          <t>СЛАБОТОЧКА, ИНТЕРНЕТ, БЕЗОПАСНОСТЬ</t>
        </is>
      </c>
      <c r="B130" s="54" t="n"/>
      <c r="C130" s="54" t="n"/>
      <c r="D130" s="54" t="n"/>
      <c r="E130" s="54" t="n"/>
      <c r="F130" s="54" t="n"/>
      <c r="G130" s="54" t="n"/>
      <c r="H130" s="55" t="n"/>
    </row>
    <row r="131" ht="15" customHeight="1" s="38">
      <c r="A131" s="56" t="n">
        <v>116</v>
      </c>
      <c r="B131" s="57" t="inlineStr">
        <is>
          <t>Настройка/перенос Wi-Fi роутера</t>
        </is>
      </c>
      <c r="C131" s="57" t="inlineStr">
        <is>
          <t>шт</t>
        </is>
      </c>
      <c r="D131" s="58" t="n">
        <v>80000</v>
      </c>
      <c r="E131" s="58" t="n">
        <v>150000</v>
      </c>
      <c r="F131" s="59">
        <f>ROUND(D131*(1+'Логика цен'!$B$3),-3)</f>
        <v/>
      </c>
      <c r="G131" s="59">
        <f>ROUND(E131*(1+'Логика цен'!$B$3),-3)</f>
        <v/>
      </c>
      <c r="H131" s="60">
        <f>ROUND(F131/(1+'Логика цен'!$B$9),-3)</f>
        <v/>
      </c>
      <c r="I131" s="61">
        <f>ROUND(G131/(1+'Логика цен'!$B$9),-3)</f>
        <v/>
      </c>
      <c r="J131" s="61">
        <f>ROUND(D131*(1+'Логика цен'!$B$3)*(1-'Логика цен'!$B$8),-3)</f>
        <v/>
      </c>
      <c r="K131" s="61">
        <f>ROUND(E131*(1+'Логика цен'!$B$3)*(1-'Логика цен'!$B$8),-3)</f>
        <v/>
      </c>
      <c r="L131" s="61">
        <f>ROUND(D131*'Логика цен'!$B$6,-3)</f>
        <v/>
      </c>
      <c r="M131" s="45" t="inlineStr">
        <is>
          <t>без учёта вызова (единичная работа)</t>
        </is>
      </c>
    </row>
    <row r="132" ht="15" customHeight="1" s="38">
      <c r="A132" s="56" t="n">
        <v>117</v>
      </c>
      <c r="B132" s="57" t="inlineStr">
        <is>
          <t>Монтаж потолочной точки доступа Wi-Fi</t>
        </is>
      </c>
      <c r="C132" s="57" t="inlineStr">
        <is>
          <t>шт</t>
        </is>
      </c>
      <c r="D132" s="58" t="n">
        <v>150000</v>
      </c>
      <c r="E132" s="58" t="n">
        <v>250000</v>
      </c>
      <c r="F132" s="59">
        <f>ROUND(D132*(1+'Логика цен'!$B$3),-3)</f>
        <v/>
      </c>
      <c r="G132" s="59">
        <f>ROUND(E132*(1+'Логика цен'!$B$3),-3)</f>
        <v/>
      </c>
      <c r="H132" s="60">
        <f>ROUND(F132/(1+'Логика цен'!$B$9),-3)</f>
        <v/>
      </c>
      <c r="I132" s="61">
        <f>ROUND(G132/(1+'Логика цен'!$B$9),-3)</f>
        <v/>
      </c>
      <c r="J132" s="61">
        <f>ROUND(D132*(1+'Логика цен'!$B$3)*(1-'Логика цен'!$B$8),-3)</f>
        <v/>
      </c>
      <c r="K132" s="61">
        <f>ROUND(E132*(1+'Логика цен'!$B$3)*(1-'Логика цен'!$B$8),-3)</f>
        <v/>
      </c>
      <c r="L132" s="61">
        <f>ROUND(D132*'Логика цен'!$B$6,-3)</f>
        <v/>
      </c>
      <c r="M132" s="45" t="inlineStr">
        <is>
          <t>B2B: офисы, кафе</t>
        </is>
      </c>
    </row>
    <row r="133" ht="15" customHeight="1" s="38">
      <c r="A133" s="56" t="n">
        <v>118</v>
      </c>
      <c r="B133" s="57" t="inlineStr">
        <is>
          <t>Прокладка интернет-кабеля (витая пара)</t>
        </is>
      </c>
      <c r="C133" s="57" t="inlineStr">
        <is>
          <t>п.м</t>
        </is>
      </c>
      <c r="D133" s="58" t="n">
        <v>15000</v>
      </c>
      <c r="E133" s="58" t="n">
        <v>30000</v>
      </c>
      <c r="F133" s="59">
        <f>ROUND(D133*(1+'Логика цен'!$B$3),-3)</f>
        <v/>
      </c>
      <c r="G133" s="59">
        <f>ROUND(E133*(1+'Логика цен'!$B$3),-3)</f>
        <v/>
      </c>
      <c r="H133" s="60">
        <f>ROUND(F133/(1+'Логика цен'!$B$9),-3)</f>
        <v/>
      </c>
      <c r="I133" s="61">
        <f>ROUND(G133/(1+'Логика цен'!$B$9),-3)</f>
        <v/>
      </c>
      <c r="J133" s="61">
        <f>ROUND(D133*(1+'Логика цен'!$B$3)*(1-'Логика цен'!$B$8),-3)</f>
        <v/>
      </c>
      <c r="K133" s="61">
        <f>ROUND(E133*(1+'Логика цен'!$B$3)*(1-'Логика цен'!$B$8),-3)</f>
        <v/>
      </c>
      <c r="L133" s="61">
        <f>ROUND(D133*'Логика цен'!$B$6,-3)</f>
        <v/>
      </c>
      <c r="M133" s="45" t="n"/>
    </row>
    <row r="134" ht="15" customHeight="1" s="38">
      <c r="A134" s="56" t="n">
        <v>119</v>
      </c>
      <c r="B134" s="57" t="inlineStr">
        <is>
          <t>Монтаж интернет-розетки RJ45 (обжим + точка)</t>
        </is>
      </c>
      <c r="C134" s="57" t="inlineStr">
        <is>
          <t>точка</t>
        </is>
      </c>
      <c r="D134" s="58" t="n">
        <v>50000</v>
      </c>
      <c r="E134" s="58" t="n">
        <v>90000</v>
      </c>
      <c r="F134" s="59">
        <f>ROUND(D134*(1+'Логика цен'!$B$3),-3)</f>
        <v/>
      </c>
      <c r="G134" s="59">
        <f>ROUND(E134*(1+'Логика цен'!$B$3),-3)</f>
        <v/>
      </c>
      <c r="H134" s="60">
        <f>ROUND(F134/(1+'Логика цен'!$B$9),-3)</f>
        <v/>
      </c>
      <c r="I134" s="61">
        <f>ROUND(G134/(1+'Логика цен'!$B$9),-3)</f>
        <v/>
      </c>
      <c r="J134" s="61">
        <f>ROUND(D134*(1+'Логика цен'!$B$3)*(1-'Логика цен'!$B$8),-3)</f>
        <v/>
      </c>
      <c r="K134" s="61">
        <f>ROUND(E134*(1+'Логика цен'!$B$3)*(1-'Логика цен'!$B$8),-3)</f>
        <v/>
      </c>
      <c r="L134" s="61">
        <f>ROUND(D134*'Логика цен'!$B$6,-3)</f>
        <v/>
      </c>
      <c r="M134" s="45" t="inlineStr">
        <is>
          <t>B2B: СКС офиса — пакетом</t>
        </is>
      </c>
    </row>
    <row r="135" ht="15" customHeight="1" s="38">
      <c r="A135" s="56" t="n">
        <v>120</v>
      </c>
      <c r="B135" s="57" t="inlineStr">
        <is>
          <t>Разводка ТВ-кабеля / ТВ-розетка</t>
        </is>
      </c>
      <c r="C135" s="57" t="inlineStr">
        <is>
          <t>точка</t>
        </is>
      </c>
      <c r="D135" s="58" t="n">
        <v>50000</v>
      </c>
      <c r="E135" s="58" t="n">
        <v>90000</v>
      </c>
      <c r="F135" s="59">
        <f>ROUND(D135*(1+'Логика цен'!$B$3),-3)</f>
        <v/>
      </c>
      <c r="G135" s="59">
        <f>ROUND(E135*(1+'Логика цен'!$B$3),-3)</f>
        <v/>
      </c>
      <c r="H135" s="60">
        <f>ROUND(F135/(1+'Логика цен'!$B$9),-3)</f>
        <v/>
      </c>
      <c r="I135" s="61">
        <f>ROUND(G135/(1+'Логика цен'!$B$9),-3)</f>
        <v/>
      </c>
      <c r="J135" s="61">
        <f>ROUND(D135*(1+'Логика цен'!$B$3)*(1-'Логика цен'!$B$8),-3)</f>
        <v/>
      </c>
      <c r="K135" s="61">
        <f>ROUND(E135*(1+'Логика цен'!$B$3)*(1-'Логика цен'!$B$8),-3)</f>
        <v/>
      </c>
      <c r="L135" s="61">
        <f>ROUND(D135*'Логика цен'!$B$6,-3)</f>
        <v/>
      </c>
      <c r="M135" s="45" t="n"/>
    </row>
    <row r="136" ht="26.25" customHeight="1" s="38">
      <c r="A136" s="56" t="n">
        <v>121</v>
      </c>
      <c r="B136" s="57" t="inlineStr">
        <is>
          <t>Установка камеры видеонаблюдения</t>
        </is>
      </c>
      <c r="C136" s="57" t="inlineStr">
        <is>
          <t>шт</t>
        </is>
      </c>
      <c r="D136" s="58" t="n">
        <v>150000</v>
      </c>
      <c r="E136" s="58" t="n">
        <v>300000</v>
      </c>
      <c r="F136" s="59">
        <f>ROUND(D136*(1+'Логика цен'!$B$3),-3)</f>
        <v/>
      </c>
      <c r="G136" s="59">
        <f>ROUND(E136*(1+'Логика цен'!$B$3),-3)</f>
        <v/>
      </c>
      <c r="H136" s="60">
        <f>ROUND(F136/(1+'Логика цен'!$B$9),-3)</f>
        <v/>
      </c>
      <c r="I136" s="61">
        <f>ROUND(G136/(1+'Логика цен'!$B$9),-3)</f>
        <v/>
      </c>
      <c r="J136" s="61">
        <f>ROUND(D136*(1+'Логика цен'!$B$3)*(1-'Логика цен'!$B$8),-3)</f>
        <v/>
      </c>
      <c r="K136" s="61">
        <f>ROUND(E136*(1+'Логика цен'!$B$3)*(1-'Логика цен'!$B$8),-3)</f>
        <v/>
      </c>
      <c r="L136" s="61">
        <f>ROUND(D136*'Логика цен'!$B$6,-3)</f>
        <v/>
      </c>
      <c r="M136" s="45" t="inlineStr">
        <is>
          <t>? Нужно уточнять от удалённости серв. (кабель?)</t>
        </is>
      </c>
    </row>
    <row r="137" ht="26.25" customHeight="1" s="38">
      <c r="A137" s="56" t="n">
        <v>122</v>
      </c>
      <c r="B137" s="57" t="inlineStr">
        <is>
          <t>Монтаж комплекта видеонаблюдения (4 камеры + регистратор)</t>
        </is>
      </c>
      <c r="C137" s="57" t="inlineStr">
        <is>
          <t>комплект</t>
        </is>
      </c>
      <c r="D137" s="58" t="n">
        <v>800000</v>
      </c>
      <c r="E137" s="58" t="n">
        <v>1500000</v>
      </c>
      <c r="F137" s="59">
        <f>ROUND(D137*(1+'Логика цен'!$B$3),-3)</f>
        <v/>
      </c>
      <c r="G137" s="59">
        <f>ROUND(E137*(1+'Логика цен'!$B$3),-3)</f>
        <v/>
      </c>
      <c r="H137" s="60">
        <f>ROUND(F137/(1+'Логика цен'!$B$9),-3)</f>
        <v/>
      </c>
      <c r="I137" s="61">
        <f>ROUND(G137/(1+'Логика цен'!$B$9),-3)</f>
        <v/>
      </c>
      <c r="J137" s="61">
        <f>ROUND(D137*(1+'Логика цен'!$B$3)*(1-'Логика цен'!$B$8),-3)</f>
        <v/>
      </c>
      <c r="K137" s="61">
        <f>ROUND(E137*(1+'Логика цен'!$B$3)*(1-'Логика цен'!$B$8),-3)</f>
        <v/>
      </c>
      <c r="L137" s="61">
        <f>ROUND(D137*'Логика цен'!$B$6,-3)</f>
        <v/>
      </c>
      <c r="M137" s="45" t="inlineStr">
        <is>
          <t>Без стоимости оборудования</t>
        </is>
      </c>
    </row>
    <row r="138" ht="15" customHeight="1" s="38">
      <c r="A138" s="56" t="n">
        <v>123</v>
      </c>
      <c r="B138" s="57" t="inlineStr">
        <is>
          <t>Настройка видеорегистратора/удалённого доступа</t>
        </is>
      </c>
      <c r="C138" s="57" t="inlineStr">
        <is>
          <t>заявка</t>
        </is>
      </c>
      <c r="D138" s="58" t="n">
        <v>150000</v>
      </c>
      <c r="E138" s="58" t="n">
        <v>300000</v>
      </c>
      <c r="F138" s="59">
        <f>ROUND(D138*(1+'Логика цен'!$B$3),-3)</f>
        <v/>
      </c>
      <c r="G138" s="59">
        <f>ROUND(E138*(1+'Логика цен'!$B$3),-3)</f>
        <v/>
      </c>
      <c r="H138" s="60">
        <f>ROUND(F138/(1+'Логика цен'!$B$9),-3)</f>
        <v/>
      </c>
      <c r="I138" s="61">
        <f>ROUND(G138/(1+'Логика цен'!$B$9),-3)</f>
        <v/>
      </c>
      <c r="J138" s="61">
        <f>ROUND(D138*(1+'Логика цен'!$B$3)*(1-'Логика цен'!$B$8),-3)</f>
        <v/>
      </c>
      <c r="K138" s="61">
        <f>ROUND(E138*(1+'Логика цен'!$B$3)*(1-'Логика цен'!$B$8),-3)</f>
        <v/>
      </c>
      <c r="L138" s="61">
        <f>ROUND(D138*'Логика цен'!$B$6,-3)</f>
        <v/>
      </c>
      <c r="M138" s="45" t="n"/>
    </row>
    <row r="139" ht="15" customHeight="1" s="38">
      <c r="A139" s="56" t="n">
        <v>124</v>
      </c>
      <c r="B139" s="57" t="inlineStr">
        <is>
          <t>Установка видеодомофона</t>
        </is>
      </c>
      <c r="C139" s="57" t="inlineStr">
        <is>
          <t>шт</t>
        </is>
      </c>
      <c r="D139" s="58" t="n">
        <v>150000</v>
      </c>
      <c r="E139" s="58" t="n">
        <v>300000</v>
      </c>
      <c r="F139" s="59">
        <f>ROUND(D139*(1+'Логика цен'!$B$3),-3)</f>
        <v/>
      </c>
      <c r="G139" s="59">
        <f>ROUND(E139*(1+'Логика цен'!$B$3),-3)</f>
        <v/>
      </c>
      <c r="H139" s="60">
        <f>ROUND(F139/(1+'Логика цен'!$B$9),-3)</f>
        <v/>
      </c>
      <c r="I139" s="61">
        <f>ROUND(G139/(1+'Логика цен'!$B$9),-3)</f>
        <v/>
      </c>
      <c r="J139" s="61">
        <f>ROUND(D139*(1+'Логика цен'!$B$3)*(1-'Логика цен'!$B$8),-3)</f>
        <v/>
      </c>
      <c r="K139" s="61">
        <f>ROUND(E139*(1+'Логика цен'!$B$3)*(1-'Логика цен'!$B$8),-3)</f>
        <v/>
      </c>
      <c r="L139" s="61">
        <f>ROUND(D139*'Логика цен'!$B$6,-3)</f>
        <v/>
      </c>
      <c r="M139" s="45" t="n"/>
    </row>
    <row r="140" ht="15" customHeight="1" s="38">
      <c r="A140" s="56" t="n">
        <v>125</v>
      </c>
      <c r="B140" s="57" t="inlineStr">
        <is>
          <t>Замена трубки домофона</t>
        </is>
      </c>
      <c r="C140" s="57" t="inlineStr">
        <is>
          <t>шт</t>
        </is>
      </c>
      <c r="D140" s="58" t="n">
        <v>60000</v>
      </c>
      <c r="E140" s="58" t="n">
        <v>100000</v>
      </c>
      <c r="F140" s="59">
        <f>ROUND(D140*(1+'Логика цен'!$B$3),-3)</f>
        <v/>
      </c>
      <c r="G140" s="59">
        <f>ROUND(E140*(1+'Логика цен'!$B$3),-3)</f>
        <v/>
      </c>
      <c r="H140" s="60">
        <f>ROUND(F140/(1+'Логика цен'!$B$9),-3)</f>
        <v/>
      </c>
      <c r="I140" s="61">
        <f>ROUND(G140/(1+'Логика цен'!$B$9),-3)</f>
        <v/>
      </c>
      <c r="J140" s="61">
        <f>ROUND(D140*(1+'Логика цен'!$B$3)*(1-'Логика цен'!$B$8),-3)</f>
        <v/>
      </c>
      <c r="K140" s="61">
        <f>ROUND(E140*(1+'Логика цен'!$B$3)*(1-'Логика цен'!$B$8),-3)</f>
        <v/>
      </c>
      <c r="L140" s="61">
        <f>ROUND(D140*'Логика цен'!$B$6,-3)</f>
        <v/>
      </c>
      <c r="M140" s="45" t="n"/>
    </row>
    <row r="141" ht="15" customHeight="1" s="38">
      <c r="A141" s="56" t="n">
        <v>126</v>
      </c>
      <c r="B141" s="57" t="inlineStr">
        <is>
          <t>Установка электромеханического замка/защёлки</t>
        </is>
      </c>
      <c r="C141" s="57" t="inlineStr">
        <is>
          <t>шт</t>
        </is>
      </c>
      <c r="D141" s="58" t="n">
        <v>200000</v>
      </c>
      <c r="E141" s="58" t="n">
        <v>400000</v>
      </c>
      <c r="F141" s="59">
        <f>ROUND(D141*(1+'Логика цен'!$B$3),-3)</f>
        <v/>
      </c>
      <c r="G141" s="59">
        <f>ROUND(E141*(1+'Логика цен'!$B$3),-3)</f>
        <v/>
      </c>
      <c r="H141" s="60">
        <f>ROUND(F141/(1+'Логика цен'!$B$9),-3)</f>
        <v/>
      </c>
      <c r="I141" s="61">
        <f>ROUND(G141/(1+'Логика цен'!$B$9),-3)</f>
        <v/>
      </c>
      <c r="J141" s="61">
        <f>ROUND(D141*(1+'Логика цен'!$B$3)*(1-'Логика цен'!$B$8),-3)</f>
        <v/>
      </c>
      <c r="K141" s="61">
        <f>ROUND(E141*(1+'Логика цен'!$B$3)*(1-'Логика цен'!$B$8),-3)</f>
        <v/>
      </c>
      <c r="L141" s="61">
        <f>ROUND(D141*'Логика цен'!$B$6,-3)</f>
        <v/>
      </c>
      <c r="M141" s="45" t="n"/>
    </row>
    <row r="142" ht="15" customHeight="1" s="38">
      <c r="A142" s="56" t="n">
        <v>127</v>
      </c>
      <c r="B142" s="57" t="inlineStr">
        <is>
          <t>Установка умных устройств (реле, датчики, замки)</t>
        </is>
      </c>
      <c r="C142" s="57" t="inlineStr">
        <is>
          <t>шт</t>
        </is>
      </c>
      <c r="D142" s="58" t="n">
        <v>100000</v>
      </c>
      <c r="E142" s="58" t="n">
        <v>250000</v>
      </c>
      <c r="F142" s="59">
        <f>ROUND(D142*(1+'Логика цен'!$B$3),-3)</f>
        <v/>
      </c>
      <c r="G142" s="59">
        <f>ROUND(E142*(1+'Логика цен'!$B$3),-3)</f>
        <v/>
      </c>
      <c r="H142" s="60">
        <f>ROUND(F142/(1+'Логика цен'!$B$9),-3)</f>
        <v/>
      </c>
      <c r="I142" s="61">
        <f>ROUND(G142/(1+'Логика цен'!$B$9),-3)</f>
        <v/>
      </c>
      <c r="J142" s="61">
        <f>ROUND(D142*(1+'Логика цен'!$B$3)*(1-'Логика цен'!$B$8),-3)</f>
        <v/>
      </c>
      <c r="K142" s="61">
        <f>ROUND(E142*(1+'Логика цен'!$B$3)*(1-'Логика цен'!$B$8),-3)</f>
        <v/>
      </c>
      <c r="L142" s="61">
        <f>ROUND(D142*'Логика цен'!$B$6,-3)</f>
        <v/>
      </c>
      <c r="M142" s="45" t="n"/>
    </row>
    <row r="143" ht="15" customHeight="1" s="38">
      <c r="A143" s="56" t="n">
        <v>128</v>
      </c>
      <c r="B143" s="57" t="inlineStr">
        <is>
          <t>Монтаж ТВ-кронштейна + подключение</t>
        </is>
      </c>
      <c r="C143" s="57" t="inlineStr">
        <is>
          <t>шт</t>
        </is>
      </c>
      <c r="D143" s="58" t="n">
        <v>200000</v>
      </c>
      <c r="E143" s="58" t="n">
        <v>350000</v>
      </c>
      <c r="F143" s="59">
        <f>ROUND(D143*(1+'Логика цен'!$B$3),-3)</f>
        <v/>
      </c>
      <c r="G143" s="59">
        <f>ROUND(E143*(1+'Логика цен'!$B$3),-3)</f>
        <v/>
      </c>
      <c r="H143" s="60">
        <f>ROUND(F143/(1+'Логика цен'!$B$9),-3)</f>
        <v/>
      </c>
      <c r="I143" s="61">
        <f>ROUND(G143/(1+'Логика цен'!$B$9),-3)</f>
        <v/>
      </c>
      <c r="J143" s="61">
        <f>ROUND(D143*(1+'Логика цен'!$B$3)*(1-'Логика цен'!$B$8),-3)</f>
        <v/>
      </c>
      <c r="K143" s="61">
        <f>ROUND(E143*(1+'Логика цен'!$B$3)*(1-'Логика цен'!$B$8),-3)</f>
        <v/>
      </c>
      <c r="L143" s="61">
        <f>ROUND(D143*'Логика цен'!$B$6,-3)</f>
        <v/>
      </c>
      <c r="M143" s="45" t="n"/>
    </row>
    <row r="144" ht="15" customHeight="1" s="38">
      <c r="A144" s="53" t="inlineStr">
        <is>
          <t>УНИВЕРСАЛЬНЫЕ РАБОТЫ (МУЖ НА ЧАС)</t>
        </is>
      </c>
      <c r="B144" s="54" t="n"/>
      <c r="C144" s="54" t="n"/>
      <c r="D144" s="54" t="n"/>
      <c r="E144" s="54" t="n"/>
      <c r="F144" s="54" t="n"/>
      <c r="G144" s="54" t="n"/>
      <c r="H144" s="55" t="n"/>
    </row>
    <row r="145" ht="15" customHeight="1" s="38">
      <c r="A145" s="56" t="n">
        <v>129</v>
      </c>
      <c r="B145" s="57" t="inlineStr">
        <is>
          <t>Работа мастера-универсала (базовая ставка)</t>
        </is>
      </c>
      <c r="C145" s="57" t="inlineStr">
        <is>
          <t>час</t>
        </is>
      </c>
      <c r="D145" s="58" t="n">
        <v>80000</v>
      </c>
      <c r="E145" s="58" t="n">
        <v>120000</v>
      </c>
      <c r="F145" s="59">
        <f>ROUND(D145*(1+'Логика цен'!$B$3),-3)</f>
        <v/>
      </c>
      <c r="G145" s="59">
        <f>ROUND(E145*(1+'Логика цен'!$B$3),-3)</f>
        <v/>
      </c>
      <c r="H145" s="60">
        <f>ROUND(F145/(1+'Логика цен'!$B$9),-3)</f>
        <v/>
      </c>
      <c r="I145" s="61">
        <f>ROUND(G145/(1+'Логика цен'!$B$9),-3)</f>
        <v/>
      </c>
      <c r="J145" s="61">
        <f>ROUND(D145*(1+'Логика цен'!$B$3)*(1-'Логика цен'!$B$8),-3)</f>
        <v/>
      </c>
      <c r="K145" s="61">
        <f>ROUND(E145*(1+'Логика цен'!$B$3)*(1-'Логика цен'!$B$8),-3)</f>
        <v/>
      </c>
      <c r="L145" s="61">
        <f>ROUND(D145*'Логика цен'!$B$6,-3)</f>
        <v/>
      </c>
      <c r="M145" s="45" t="n"/>
    </row>
    <row r="146" ht="15" customHeight="1" s="38">
      <c r="A146" s="56" t="n">
        <v>130</v>
      </c>
      <c r="B146" s="57" t="inlineStr">
        <is>
          <t>Сборка простой мебели (тумба, стол, стеллаж)</t>
        </is>
      </c>
      <c r="C146" s="57" t="inlineStr">
        <is>
          <t>изделие</t>
        </is>
      </c>
      <c r="D146" s="58" t="n">
        <v>100000</v>
      </c>
      <c r="E146" s="58" t="n">
        <v>200000</v>
      </c>
      <c r="F146" s="59">
        <f>ROUND(D146*(1+'Логика цен'!$B$3),-3)</f>
        <v/>
      </c>
      <c r="G146" s="59">
        <f>ROUND(E146*(1+'Логика цен'!$B$3),-3)</f>
        <v/>
      </c>
      <c r="H146" s="60">
        <f>ROUND(F146/(1+'Логика цен'!$B$9),-3)</f>
        <v/>
      </c>
      <c r="I146" s="61">
        <f>ROUND(G146/(1+'Логика цен'!$B$9),-3)</f>
        <v/>
      </c>
      <c r="J146" s="61">
        <f>ROUND(D146*(1+'Логика цен'!$B$3)*(1-'Логика цен'!$B$8),-3)</f>
        <v/>
      </c>
      <c r="K146" s="61">
        <f>ROUND(E146*(1+'Логика цен'!$B$3)*(1-'Логика цен'!$B$8),-3)</f>
        <v/>
      </c>
      <c r="L146" s="61">
        <f>ROUND(D146*'Логика цен'!$B$6,-3)</f>
        <v/>
      </c>
      <c r="M146" s="45" t="inlineStr">
        <is>
          <t>Оценка по фото</t>
        </is>
      </c>
    </row>
    <row r="147" ht="15" customHeight="1" s="38">
      <c r="A147" s="56" t="n">
        <v>131</v>
      </c>
      <c r="B147" s="57" t="inlineStr">
        <is>
          <t>Сборка сложной мебели (шкаф-купе, кухня)</t>
        </is>
      </c>
      <c r="C147" s="57" t="inlineStr">
        <is>
          <t>п.м</t>
        </is>
      </c>
      <c r="D147" s="58" t="n">
        <v>200000</v>
      </c>
      <c r="E147" s="58" t="n">
        <v>400000</v>
      </c>
      <c r="F147" s="59">
        <f>ROUND(D147*(1+'Логика цен'!$B$3),-3)</f>
        <v/>
      </c>
      <c r="G147" s="59">
        <f>ROUND(E147*(1+'Логика цен'!$B$3),-3)</f>
        <v/>
      </c>
      <c r="H147" s="60">
        <f>ROUND(F147/(1+'Логика цен'!$B$9),-3)</f>
        <v/>
      </c>
      <c r="I147" s="61">
        <f>ROUND(G147/(1+'Логика цен'!$B$9),-3)</f>
        <v/>
      </c>
      <c r="J147" s="61">
        <f>ROUND(D147*(1+'Логика цен'!$B$3)*(1-'Логика цен'!$B$8),-3)</f>
        <v/>
      </c>
      <c r="K147" s="61">
        <f>ROUND(E147*(1+'Логика цен'!$B$3)*(1-'Логика цен'!$B$8),-3)</f>
        <v/>
      </c>
      <c r="L147" s="61">
        <f>ROUND(D147*'Логика цен'!$B$6,-3)</f>
        <v/>
      </c>
      <c r="M147" s="45" t="inlineStr">
        <is>
          <t>Оценка по фото</t>
        </is>
      </c>
    </row>
    <row r="148" ht="15" customHeight="1" s="38">
      <c r="A148" s="56" t="n">
        <v>132</v>
      </c>
      <c r="B148" s="57" t="inlineStr">
        <is>
          <t>Навес полки/зеркала/карниза</t>
        </is>
      </c>
      <c r="C148" s="57" t="inlineStr">
        <is>
          <t>шт</t>
        </is>
      </c>
      <c r="D148" s="58" t="n">
        <v>60000</v>
      </c>
      <c r="E148" s="58" t="n">
        <v>120000</v>
      </c>
      <c r="F148" s="59">
        <f>ROUND(D148*(1+'Логика цен'!$B$3),-3)</f>
        <v/>
      </c>
      <c r="G148" s="59">
        <f>ROUND(E148*(1+'Логика цен'!$B$3),-3)</f>
        <v/>
      </c>
      <c r="H148" s="60">
        <f>ROUND(F148/(1+'Логика цен'!$B$9),-3)</f>
        <v/>
      </c>
      <c r="I148" s="61">
        <f>ROUND(G148/(1+'Логика цен'!$B$9),-3)</f>
        <v/>
      </c>
      <c r="J148" s="61">
        <f>ROUND(D148*(1+'Логика цен'!$B$3)*(1-'Логика цен'!$B$8),-3)</f>
        <v/>
      </c>
      <c r="K148" s="61">
        <f>ROUND(E148*(1+'Логика цен'!$B$3)*(1-'Логика цен'!$B$8),-3)</f>
        <v/>
      </c>
      <c r="L148" s="61">
        <f>ROUND(D148*'Логика цен'!$B$6,-3)</f>
        <v/>
      </c>
      <c r="M148" s="45" t="inlineStr">
        <is>
          <t>не более 4х точек крепления</t>
        </is>
      </c>
    </row>
    <row r="149" ht="15" customHeight="1" s="38">
      <c r="A149" s="56" t="n">
        <v>133</v>
      </c>
      <c r="B149" s="57" t="inlineStr">
        <is>
          <t>Мелкий крепёж по списку (до 5 позиций)</t>
        </is>
      </c>
      <c r="C149" s="57" t="inlineStr">
        <is>
          <t>заявка</t>
        </is>
      </c>
      <c r="D149" s="58" t="n">
        <v>150000</v>
      </c>
      <c r="E149" s="58" t="n">
        <v>250000</v>
      </c>
      <c r="F149" s="59">
        <f>ROUND(D149*(1+'Логика цен'!$B$3),-3)</f>
        <v/>
      </c>
      <c r="G149" s="59">
        <f>ROUND(E149*(1+'Логика цен'!$B$3),-3)</f>
        <v/>
      </c>
      <c r="H149" s="60">
        <f>ROUND(F149/(1+'Логика цен'!$B$9),-3)</f>
        <v/>
      </c>
      <c r="I149" s="61">
        <f>ROUND(G149/(1+'Логика цен'!$B$9),-3)</f>
        <v/>
      </c>
      <c r="J149" s="61">
        <f>ROUND(D149*(1+'Логика цен'!$B$3)*(1-'Логика цен'!$B$8),-3)</f>
        <v/>
      </c>
      <c r="K149" s="61">
        <f>ROUND(E149*(1+'Логика цен'!$B$3)*(1-'Логика цен'!$B$8),-3)</f>
        <v/>
      </c>
      <c r="L149" s="61">
        <f>ROUND(D149*'Логика цен'!$B$6,-3)</f>
        <v/>
      </c>
      <c r="M149" s="45" t="inlineStr">
        <is>
          <t>Пакет «приведи дом в порядок»</t>
        </is>
      </c>
    </row>
    <row r="150" ht="15" customHeight="1" s="38">
      <c r="A150" s="56" t="n">
        <v>134</v>
      </c>
      <c r="B150" s="57" t="inlineStr">
        <is>
          <t>Мастер на день (8 часов, список задач)</t>
        </is>
      </c>
      <c r="C150" s="57" t="inlineStr">
        <is>
          <t>день</t>
        </is>
      </c>
      <c r="D150" s="58" t="n">
        <v>500000</v>
      </c>
      <c r="E150" s="58" t="n">
        <v>700000</v>
      </c>
      <c r="F150" s="59">
        <f>ROUND(D150*(1+'Логика цен'!$B$3),-3)</f>
        <v/>
      </c>
      <c r="G150" s="59">
        <f>ROUND(E150*(1+'Логика цен'!$B$3),-3)</f>
        <v/>
      </c>
      <c r="H150" s="60">
        <f>ROUND(F150/(1+'Логика цен'!$B$9),-3)</f>
        <v/>
      </c>
      <c r="I150" s="61">
        <f>ROUND(G150/(1+'Логика цен'!$B$9),-3)</f>
        <v/>
      </c>
      <c r="J150" s="61">
        <f>ROUND(D150*(1+'Логика цен'!$B$3)*(1-'Логика цен'!$B$8),-3)</f>
        <v/>
      </c>
      <c r="K150" s="61">
        <f>ROUND(E150*(1+'Логика цен'!$B$3)*(1-'Логика цен'!$B$8),-3)</f>
        <v/>
      </c>
      <c r="L150" s="61">
        <f>ROUND(D150*'Логика цен'!$B$6,-3)</f>
        <v/>
      </c>
      <c r="M150" s="45" t="inlineStr">
        <is>
          <t>Выгодный пакет для больших списков</t>
        </is>
      </c>
    </row>
    <row r="151" ht="15" customHeight="1" s="38">
      <c r="A151" s="53" t="inlineStr">
        <is>
          <t>СЕРВИСНЫЕ УСЛУГИ</t>
        </is>
      </c>
      <c r="B151" s="54" t="n"/>
      <c r="C151" s="54" t="n"/>
      <c r="D151" s="54" t="n"/>
      <c r="E151" s="54" t="n"/>
      <c r="F151" s="54" t="n"/>
      <c r="G151" s="54" t="n"/>
      <c r="H151" s="55" t="n"/>
    </row>
    <row r="152" ht="26.25" customHeight="1" s="38">
      <c r="A152" s="56" t="n">
        <v>135</v>
      </c>
      <c r="B152" s="57" t="inlineStr">
        <is>
          <t>Закупка и доставка материалов мастером</t>
        </is>
      </c>
      <c r="C152" s="57" t="inlineStr">
        <is>
          <t>заявка</t>
        </is>
      </c>
      <c r="D152" s="58" t="n">
        <v>100000</v>
      </c>
      <c r="E152" s="58" t="n">
        <v>150000</v>
      </c>
      <c r="F152" s="59">
        <f>ROUND(D152*(1+'Логика цен'!$B$3),-3)</f>
        <v/>
      </c>
      <c r="G152" s="59">
        <f>ROUND(E152*(1+'Логика цен'!$B$3),-3)</f>
        <v/>
      </c>
      <c r="H152" s="60">
        <f>ROUND(F152/(1+'Логика цен'!$B$9),-3)</f>
        <v/>
      </c>
      <c r="I152" s="61">
        <f>ROUND(G152/(1+'Логика цен'!$B$9),-3)</f>
        <v/>
      </c>
      <c r="J152" s="61">
        <f>ROUND(D152*(1+'Логика цен'!$B$3)*(1-'Логика цен'!$B$8),-3)</f>
        <v/>
      </c>
      <c r="K152" s="61">
        <f>ROUND(E152*(1+'Логика цен'!$B$3)*(1-'Логика цен'!$B$8),-3)</f>
        <v/>
      </c>
      <c r="L152" s="61">
        <f>ROUND(D152*'Логика цен'!$B$6,-3)</f>
        <v/>
      </c>
      <c r="M152" s="45" t="inlineStr">
        <is>
          <t>Материалы по чеку без наценки (без учёта доставки)</t>
        </is>
      </c>
    </row>
    <row r="153" ht="26.25" customHeight="1" s="38">
      <c r="A153" s="56" t="n">
        <v>136</v>
      </c>
      <c r="B153" s="57" t="inlineStr">
        <is>
          <t>Фотоотчёт о состоянии помещения (для арендодателей)</t>
        </is>
      </c>
      <c r="C153" s="57" t="inlineStr">
        <is>
          <t>объект</t>
        </is>
      </c>
      <c r="D153" s="58" t="n">
        <v>150000</v>
      </c>
      <c r="E153" s="58" t="n">
        <v>250000</v>
      </c>
      <c r="F153" s="59">
        <f>ROUND(D153*(1+'Логика цен'!$B$3),-3)</f>
        <v/>
      </c>
      <c r="G153" s="59">
        <f>ROUND(E153*(1+'Логика цен'!$B$3),-3)</f>
        <v/>
      </c>
      <c r="H153" s="60">
        <f>ROUND(F153/(1+'Логика цен'!$B$9),-3)</f>
        <v/>
      </c>
      <c r="I153" s="61">
        <f>ROUND(G153/(1+'Логика цен'!$B$9),-3)</f>
        <v/>
      </c>
      <c r="J153" s="61">
        <f>ROUND(D153*(1+'Логика цен'!$B$3)*(1-'Логика цен'!$B$8),-3)</f>
        <v/>
      </c>
      <c r="K153" s="61">
        <f>ROUND(E153*(1+'Логика цен'!$B$3)*(1-'Логика цен'!$B$8),-3)</f>
        <v/>
      </c>
      <c r="L153" s="61">
        <f>ROUND(D153*'Логика цен'!$B$6,-3)</f>
        <v/>
      </c>
      <c r="M153" s="45" t="inlineStr">
        <is>
          <t>Ниша: управление арендным жильём</t>
        </is>
      </c>
    </row>
  </sheetData>
  <mergeCells count="15">
    <mergeCell ref="A62:H62"/>
    <mergeCell ref="A130:H130"/>
    <mergeCell ref="A144:H144"/>
    <mergeCell ref="A5:H5"/>
    <mergeCell ref="A35:H35"/>
    <mergeCell ref="A95:H95"/>
    <mergeCell ref="A2:H2"/>
    <mergeCell ref="A10:H10"/>
    <mergeCell ref="A103:H103"/>
    <mergeCell ref="A112:H112"/>
    <mergeCell ref="A76:H76"/>
    <mergeCell ref="A151:H151"/>
    <mergeCell ref="A1:H1"/>
    <mergeCell ref="A84:H84"/>
    <mergeCell ref="A120:H1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44" customWidth="1" style="37" min="1" max="1"/>
    <col width="22" customWidth="1" style="37" min="2" max="4"/>
    <col width="3" customWidth="1" style="37" min="5" max="5"/>
    <col width="45" customWidth="1" style="37" min="6" max="6"/>
  </cols>
  <sheetData>
    <row r="1" ht="18" customHeight="1" s="38">
      <c r="A1" s="39" t="inlineStr">
        <is>
          <t>B2B: АБОНЕНТСКАЯ МОДЕЛЬ — фикс в договоре, сверх лимита отдельной счёт-фактурой</t>
        </is>
      </c>
    </row>
    <row r="3" ht="15" customHeight="1" s="38">
      <c r="A3" s="42" t="inlineStr">
        <is>
          <t>Механика: клиент платит фикс. сумму в месяц. Работы списываются из неё по подписным ценам («B2B разовая» − 10%). Осмотры входят. Всё сверх суммы — отдельная СФ по ценам «B2B разовая» (+30% к B2C, без скидки).</t>
        </is>
      </c>
    </row>
    <row r="5" ht="15" customHeight="1" s="38">
      <c r="A5" s="62" t="inlineStr">
        <is>
          <t>Параметр</t>
        </is>
      </c>
      <c r="B5" s="62" t="inlineStr">
        <is>
          <t>Базовый</t>
        </is>
      </c>
      <c r="C5" s="62" t="inlineStr">
        <is>
          <t>Стандарт</t>
        </is>
      </c>
      <c r="D5" s="62" t="inlineStr">
        <is>
          <t>Про</t>
        </is>
      </c>
      <c r="E5" s="62" t="n"/>
      <c r="F5" s="62" t="inlineStr">
        <is>
          <t>Комментарий</t>
        </is>
      </c>
    </row>
    <row r="6" ht="26.25" customHeight="1" s="38">
      <c r="A6" s="63" t="inlineStr">
        <is>
          <t>Целевой клиент</t>
        </is>
      </c>
      <c r="B6" s="64" t="inlineStr">
        <is>
          <t>Небольшой офис, магазин</t>
        </is>
      </c>
      <c r="C6" s="64" t="inlineStr">
        <is>
          <t>Кафе, салон, средний офис</t>
        </is>
      </c>
      <c r="D6" s="64" t="inlineStr">
        <is>
          <t>Ресторан, гостиница, сеть</t>
        </is>
      </c>
      <c r="F6" s="42" t="n"/>
    </row>
    <row r="7" ht="15" customHeight="1" s="38">
      <c r="A7" s="65" t="inlineStr">
        <is>
          <t>АБОНЕНТСКАЯ СУММА в договоре, сум/мес</t>
        </is>
      </c>
      <c r="B7" s="66" t="n">
        <v>1500000</v>
      </c>
      <c r="C7" s="66" t="n">
        <v>3000000</v>
      </c>
      <c r="D7" s="66" t="n">
        <v>5000000</v>
      </c>
      <c r="F7" s="42" t="inlineStr">
        <is>
          <t>Жёлтое: твоя цена в договоре</t>
        </is>
      </c>
    </row>
    <row r="8" ht="15" customHeight="1" s="38">
      <c r="A8" s="63" t="inlineStr">
        <is>
          <t>Средний чек заявки по B2C-прайсу, сум</t>
        </is>
      </c>
      <c r="B8" s="66" t="n">
        <v>200000</v>
      </c>
      <c r="C8" s="66" t="n">
        <v>220000</v>
      </c>
      <c r="D8" s="66" t="n">
        <v>250000</v>
      </c>
      <c r="F8" s="42" t="inlineStr">
        <is>
          <t>У Про выше: кондиционеры, вентиляция, сварка</t>
        </is>
      </c>
    </row>
    <row r="9" ht="15" customHeight="1" s="38">
      <c r="A9" s="63" t="inlineStr">
        <is>
          <t>Плановых осмотров в месяц</t>
        </is>
      </c>
      <c r="B9" s="66" t="n">
        <v>1</v>
      </c>
      <c r="C9" s="66" t="n">
        <v>1</v>
      </c>
      <c r="D9" s="66" t="n">
        <v>2</v>
      </c>
      <c r="F9" s="42" t="n"/>
    </row>
    <row r="10" ht="15" customHeight="1" s="38">
      <c r="A10" s="63" t="inlineStr">
        <is>
          <t>Осмотры (списываются из абонентки), сум/мес</t>
        </is>
      </c>
      <c r="B10" s="67">
        <f>B9*'Логика цен'!$B$7</f>
        <v/>
      </c>
      <c r="C10" s="67">
        <f>C9*'Логика цен'!$B$7</f>
        <v/>
      </c>
      <c r="D10" s="67">
        <f>D9*'Логика цен'!$B$7</f>
        <v/>
      </c>
    </row>
    <row r="11" ht="15" customHeight="1" s="38">
      <c r="A11" s="63" t="inlineStr">
        <is>
          <t>Остаток абонентки на заявки, сум/мес</t>
        </is>
      </c>
      <c r="B11" s="67">
        <f>B7-B10</f>
        <v/>
      </c>
      <c r="C11" s="67">
        <f>C7-C10</f>
        <v/>
      </c>
      <c r="D11" s="67">
        <f>D7-D10</f>
        <v/>
      </c>
    </row>
    <row r="12" ht="15" customHeight="1" s="38">
      <c r="A12" s="63" t="inlineStr">
        <is>
          <t>Подписной средний чек («B2B разовая» − 10%), сум</t>
        </is>
      </c>
      <c r="B12" s="67">
        <f>ROUND(B8*(1+'Логика цен'!$B$3)*(1-'Логика цен'!$B$8),-3)</f>
        <v/>
      </c>
      <c r="C12" s="67">
        <f>ROUND(C8*(1+'Логика цен'!$B$3)*(1-'Логика цен'!$B$8),-3)</f>
        <v/>
      </c>
      <c r="D12" s="67">
        <f>ROUND(D8*(1+'Логика цен'!$B$3)*(1-'Логика цен'!$B$8),-3)</f>
        <v/>
      </c>
    </row>
    <row r="13" ht="15" customHeight="1" s="38">
      <c r="A13" s="68" t="inlineStr">
        <is>
          <t>ПОКРЫВАЕТ ЗАЯВОК В МЕСЯЦ, шт ≈</t>
        </is>
      </c>
      <c r="B13" s="69">
        <f>ROUND(B11/B12,0)</f>
        <v/>
      </c>
      <c r="C13" s="69">
        <f>ROUND(C11/C12,0)</f>
        <v/>
      </c>
      <c r="D13" s="69">
        <f>ROUND(D11/D12,0)</f>
        <v/>
      </c>
    </row>
    <row r="14" ht="15" customHeight="1" s="38">
      <c r="A14" s="63" t="inlineStr">
        <is>
          <t>Те же работы по разовым B2B-ценам, сум/мес</t>
        </is>
      </c>
      <c r="B14" s="67">
        <f>ROUND((B13*B8+B9*'Логика цен'!$B$7)*(1+'Логика цен'!$B$3),-4)</f>
        <v/>
      </c>
      <c r="C14" s="67">
        <f>ROUND((C13*C8+C9*'Логика цен'!$B$7)*(1+'Логика цен'!$B$3),-4)</f>
        <v/>
      </c>
      <c r="D14" s="67">
        <f>ROUND((D13*D8+D9*'Логика цен'!$B$7)*(1+'Логика цен'!$B$3),-4)</f>
        <v/>
      </c>
    </row>
    <row r="15" ht="15" customHeight="1" s="38">
      <c r="A15" s="68" t="inlineStr">
        <is>
          <t>Выгода клиента от абонентки, сум/мес</t>
        </is>
      </c>
      <c r="B15" s="70">
        <f>B14-B7</f>
        <v/>
      </c>
      <c r="C15" s="70">
        <f>C14-C7</f>
        <v/>
      </c>
      <c r="D15" s="70">
        <f>D14-D7</f>
        <v/>
      </c>
    </row>
    <row r="16" ht="15" customHeight="1" s="38">
      <c r="A16" s="63" t="inlineStr">
        <is>
          <t>Выгода клиента, %</t>
        </is>
      </c>
      <c r="B16" s="71">
        <f>(B14-B7)/B14</f>
        <v/>
      </c>
      <c r="C16" s="71">
        <f>(C14-C7)/C14</f>
        <v/>
      </c>
      <c r="D16" s="71">
        <f>(D14-D7)/D14</f>
        <v/>
      </c>
    </row>
    <row r="18" ht="15" customHeight="1" s="38">
      <c r="A18" s="47" t="inlineStr">
        <is>
          <t>УСЛОВИЯ ДОГОВОРА (проект):</t>
        </is>
      </c>
    </row>
    <row r="19" ht="15" customHeight="1" s="38">
      <c r="A19" s="40" t="inlineStr">
        <is>
          <t>• Работы учитываются по подписным ценам = «B2B разовая» × (1 − скидка с листа «Логика цен», B8).</t>
        </is>
      </c>
    </row>
    <row r="20" ht="15" customHeight="1" s="38">
      <c r="A20" s="40" t="inlineStr">
        <is>
          <t>• Всё СВЕРХ абонентской суммы — отдельная счёт-фактура в конце месяца по ценам «B2B разовая» (+30%).</t>
        </is>
      </c>
    </row>
    <row r="21" ht="15" customHeight="1" s="38">
      <c r="A21" s="40" t="inlineStr">
        <is>
          <t>• Неиспользованный остаток не переносится. (Вариант для переговоров: переносится до 20% на следующий месяц.)</t>
        </is>
      </c>
    </row>
    <row r="22" ht="15" customHeight="1" s="38">
      <c r="A22" s="40" t="inlineStr">
        <is>
          <t>• Материалы всегда отдельно: по чеку, закрываются той же СФ.</t>
        </is>
      </c>
    </row>
    <row r="23" ht="15" customHeight="1" s="38">
      <c r="A23" s="40" t="inlineStr">
        <is>
          <t>• Время реакции: Базовый — в течение дня, Стандарт — 4 часа, Про — 2 часа.</t>
        </is>
      </c>
    </row>
    <row r="24" ht="15" customHeight="1" s="38">
      <c r="A24" s="40" t="inlineStr">
        <is>
          <t>• Договор от 6 месяцев, оплата абонентки авансом до 5 числа.</t>
        </is>
      </c>
    </row>
    <row r="25" ht="15" customHeight="1" s="38">
      <c r="A25" s="45" t="inlineStr">
        <is>
          <t>• Все суммы (абонентка, СФ сверх лимита) — конечные, с НДС; в СФ НДС 12% выделяется изнутри (лист «Логика цен», B9).</t>
        </is>
      </c>
    </row>
    <row r="26" ht="15" customHeight="1" s="38">
      <c r="A26" s="40" t="n"/>
    </row>
    <row r="27" ht="15" customHeight="1" s="38">
      <c r="A27" s="47" t="inlineStr">
        <is>
          <t>РЕГЛАМЕНТ ПЛАНОВОГО ОСМОТРА (входит): сантехника на течи, протяжка контактов в щитке, замена перегоревших</t>
        </is>
      </c>
    </row>
    <row r="28" ht="15" customHeight="1" s="38">
      <c r="A28" s="40" t="inlineStr">
        <is>
          <t>ламп (лампы клиента), чистка фильтров кондиционеров (в сезон), осмотр вентиляции, проверка дверей/окон/замков,</t>
        </is>
      </c>
    </row>
    <row r="29" ht="15" customHeight="1" s="38">
      <c r="A29" s="40" t="inlineStr">
        <is>
          <t>мелкий крепёж, фотоотчёт о состоянии объекта.</t>
        </is>
      </c>
    </row>
  </sheetData>
  <mergeCells count="13">
    <mergeCell ref="A24:F24"/>
    <mergeCell ref="A28:F28"/>
    <mergeCell ref="A19:F19"/>
    <mergeCell ref="A3:F3"/>
    <mergeCell ref="A1:F1"/>
    <mergeCell ref="A23:F23"/>
    <mergeCell ref="A27:F27"/>
    <mergeCell ref="A22:F22"/>
    <mergeCell ref="A18:F18"/>
    <mergeCell ref="A26:F26"/>
    <mergeCell ref="A21:F21"/>
    <mergeCell ref="A20:F20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2026-07-19T09:10:08Z</dcterms:created>
  <dcterms:modified xmlns:dcterms="http://purl.org/dc/terms/" xmlns:xsi="http://www.w3.org/2001/XMLSchema-instance" xsi:type="dcterms:W3CDTF">2026-07-30T17:02:15Z</dcterms:modified>
  <cp:lastModifiedBy>SoL Magix</cp:lastModifiedBy>
  <cp:revision>0</cp:revision>
</cp:coreProperties>
</file>